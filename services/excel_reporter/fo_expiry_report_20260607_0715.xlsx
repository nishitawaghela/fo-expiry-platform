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I by Strike" sheetId="2" state="visible" r:id="rId2"/>
    <sheet xmlns:r="http://schemas.openxmlformats.org/officeDocument/2006/relationships" name="PCR Trend" sheetId="3" state="visible" r:id="rId3"/>
    <sheet xmlns:r="http://schemas.openxmlformats.org/officeDocument/2006/relationships" name="Max Pain" sheetId="4" state="visible" r:id="rId4"/>
    <sheet xmlns:r="http://schemas.openxmlformats.org/officeDocument/2006/relationships" name="Anomal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1B2A4A"/>
      <sz val="10"/>
    </font>
    <font>
      <b val="1"/>
      <color rgb="001B2A4A"/>
      <sz val="11"/>
    </font>
    <font>
      <b val="1"/>
      <color rgb="00FFFFFF"/>
    </font>
    <font>
      <b val="1"/>
      <color rgb="00FFFFFF"/>
      <sz val="11"/>
    </font>
    <font>
      <b val="1"/>
      <color rgb="001B2A4A"/>
    </font>
    <font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A500"/>
      </patternFill>
    </fill>
    <fill>
      <patternFill patternType="solid">
        <fgColor rgb="00FFFFFF"/>
      </patternFill>
    </fill>
    <fill>
      <patternFill patternType="solid">
        <fgColor rgb="00D4A017"/>
      </patternFill>
    </fill>
    <fill>
      <patternFill patternType="solid">
        <fgColor rgb="0000AA44"/>
      </patternFill>
    </fill>
    <fill>
      <patternFill patternType="solid">
        <fgColor rgb="00FF444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3" borderId="1" pivotButton="0" quotePrefix="0" xfId="0"/>
    <xf numFmtId="0" fontId="0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Open Interest by Strike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'OI by Strike'!B1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'OI by Strike'!$A$2:$A$102</f>
            </numRef>
          </cat>
          <val>
            <numRef>
              <f>'OI by Strike'!$B$2:$B$102</f>
            </numRef>
          </val>
        </ser>
        <ser>
          <idx val="1"/>
          <order val="1"/>
          <tx>
            <strRef>
              <f>'OI by Strike'!C1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prstDash val="solid"/>
            </a:ln>
          </spPr>
          <cat>
            <numRef>
              <f>'OI by Strike'!$A$2:$A$102</f>
            </numRef>
          </cat>
          <val>
            <numRef>
              <f>'OI by Strike'!$C$2:$C$102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Strike Price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Open Interest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PCR Trend</a:t>
            </a:r>
          </a:p>
        </rich>
      </tx>
    </title>
    <plotArea>
      <lineChart>
        <grouping val="standard"/>
        <ser>
          <idx val="0"/>
          <order val="0"/>
          <tx>
            <strRef>
              <f>'PCR Trend'!B1</f>
            </strRef>
          </tx>
          <spPr>
            <a:ln xmlns:a="http://schemas.openxmlformats.org/drawingml/2006/main" w="20000">
              <a:solidFill>
                <a:srgbClr val="D4A01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'PCR Trend'!$B$2:$B$14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Batch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Put-Call Ratio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 ht="35" customHeight="1">
      <c r="A1" s="1" t="inlineStr">
        <is>
          <t>F&amp;O Expiry Analytics Report</t>
        </is>
      </c>
    </row>
    <row r="2">
      <c r="A2" s="2" t="inlineStr">
        <is>
          <t>Generated: 07 Jun 2026 07:15 UTC</t>
        </is>
      </c>
    </row>
    <row r="4" ht="22" customHeight="1">
      <c r="A4" s="3" t="inlineStr">
        <is>
          <t>Symbol</t>
        </is>
      </c>
      <c r="B4" s="4" t="inlineStr">
        <is>
          <t>NIFTY</t>
        </is>
      </c>
    </row>
    <row r="5" ht="22" customHeight="1">
      <c r="A5" s="3" t="inlineStr">
        <is>
          <t>Expiry</t>
        </is>
      </c>
      <c r="B5" s="4" t="inlineStr">
        <is>
          <t>09-Jun-2026</t>
        </is>
      </c>
    </row>
    <row r="6" ht="22" customHeight="1">
      <c r="A6" s="3" t="inlineStr">
        <is>
          <t>Spot Price</t>
        </is>
      </c>
      <c r="B6" s="4" t="inlineStr">
        <is>
          <t>₹23,366.70</t>
        </is>
      </c>
    </row>
    <row r="7" ht="22" customHeight="1">
      <c r="A7" s="3" t="inlineStr">
        <is>
          <t>PCR</t>
        </is>
      </c>
      <c r="B7" s="4" t="inlineStr">
        <is>
          <t>0.7093</t>
        </is>
      </c>
    </row>
    <row r="8" ht="22" customHeight="1">
      <c r="A8" s="3" t="inlineStr">
        <is>
          <t>Market Sentiment</t>
        </is>
      </c>
      <c r="B8" s="5" t="inlineStr">
        <is>
          <t>NEUTRAL</t>
        </is>
      </c>
    </row>
    <row r="9" ht="22" customHeight="1">
      <c r="A9" s="3" t="inlineStr">
        <is>
          <t>Max Pain Strike</t>
        </is>
      </c>
      <c r="B9" s="4" t="inlineStr">
        <is>
          <t>₹26,100</t>
        </is>
      </c>
    </row>
    <row r="10" ht="22" customHeight="1">
      <c r="A10" s="3" t="inlineStr">
        <is>
          <t>Total CE OI</t>
        </is>
      </c>
      <c r="B10" s="4" t="inlineStr">
        <is>
          <t>2,889,182</t>
        </is>
      </c>
    </row>
    <row r="11" ht="22" customHeight="1">
      <c r="A11" s="3" t="inlineStr">
        <is>
          <t>Total PE OI</t>
        </is>
      </c>
      <c r="B11" s="4" t="inlineStr">
        <is>
          <t>2,049,202</t>
        </is>
      </c>
    </row>
    <row r="12" ht="22" customHeight="1">
      <c r="A12" s="3" t="inlineStr">
        <is>
          <t>Total Strikes</t>
        </is>
      </c>
      <c r="B12" s="4" t="n">
        <v>101</v>
      </c>
    </row>
    <row r="13" ht="22" customHeight="1">
      <c r="A13" s="3" t="inlineStr">
        <is>
          <t>Last Updated</t>
        </is>
      </c>
      <c r="B13" s="4" t="inlineStr">
        <is>
          <t>2026-06-06 15:15:24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6" t="inlineStr">
        <is>
          <t>Strike</t>
        </is>
      </c>
      <c r="B1" s="6" t="inlineStr">
        <is>
          <t>CE OI</t>
        </is>
      </c>
      <c r="C1" s="6" t="inlineStr">
        <is>
          <t>PE OI</t>
        </is>
      </c>
      <c r="D1" s="6" t="inlineStr">
        <is>
          <t>CE OI Shift</t>
        </is>
      </c>
      <c r="E1" s="6" t="inlineStr">
        <is>
          <t>PE OI Shift</t>
        </is>
      </c>
      <c r="F1" s="6" t="inlineStr">
        <is>
          <t>Max Pain</t>
        </is>
      </c>
    </row>
    <row r="2">
      <c r="A2" s="7" t="n">
        <v>21100</v>
      </c>
      <c r="B2" s="7" t="n">
        <v>3</v>
      </c>
      <c r="C2" s="7" t="n">
        <v>102882</v>
      </c>
      <c r="D2" s="7" t="n">
        <v>0</v>
      </c>
      <c r="E2" s="7" t="n">
        <v>0</v>
      </c>
      <c r="F2" s="7" t="inlineStr"/>
    </row>
    <row r="3">
      <c r="A3" s="8" t="n">
        <v>21150</v>
      </c>
      <c r="B3" s="8" t="n">
        <v>0</v>
      </c>
      <c r="C3" s="8" t="n">
        <v>2139</v>
      </c>
      <c r="D3" s="8" t="n">
        <v>0</v>
      </c>
      <c r="E3" s="8" t="n">
        <v>0</v>
      </c>
      <c r="F3" s="8" t="inlineStr"/>
    </row>
    <row r="4">
      <c r="A4" s="7" t="n">
        <v>21200</v>
      </c>
      <c r="B4" s="7" t="n">
        <v>0</v>
      </c>
      <c r="C4" s="7" t="n">
        <v>17629</v>
      </c>
      <c r="D4" s="7" t="n">
        <v>0</v>
      </c>
      <c r="E4" s="7" t="n">
        <v>0</v>
      </c>
      <c r="F4" s="7" t="inlineStr"/>
    </row>
    <row r="5">
      <c r="A5" s="8" t="n">
        <v>21250</v>
      </c>
      <c r="B5" s="8" t="n">
        <v>0</v>
      </c>
      <c r="C5" s="8" t="n">
        <v>1672</v>
      </c>
      <c r="D5" s="8" t="n">
        <v>0</v>
      </c>
      <c r="E5" s="8" t="n">
        <v>0</v>
      </c>
      <c r="F5" s="8" t="inlineStr"/>
    </row>
    <row r="6">
      <c r="A6" s="7" t="n">
        <v>21300</v>
      </c>
      <c r="B6" s="7" t="n">
        <v>1</v>
      </c>
      <c r="C6" s="7" t="n">
        <v>7325</v>
      </c>
      <c r="D6" s="7" t="n">
        <v>0</v>
      </c>
      <c r="E6" s="7" t="n">
        <v>0</v>
      </c>
      <c r="F6" s="7" t="inlineStr"/>
    </row>
    <row r="7">
      <c r="A7" s="8" t="n">
        <v>21350</v>
      </c>
      <c r="B7" s="8" t="n">
        <v>1</v>
      </c>
      <c r="C7" s="8" t="n">
        <v>879</v>
      </c>
      <c r="D7" s="8" t="n">
        <v>0</v>
      </c>
      <c r="E7" s="8" t="n">
        <v>0</v>
      </c>
      <c r="F7" s="8" t="inlineStr"/>
    </row>
    <row r="8">
      <c r="A8" s="7" t="n">
        <v>21400</v>
      </c>
      <c r="B8" s="7" t="n">
        <v>2</v>
      </c>
      <c r="C8" s="7" t="n">
        <v>6913</v>
      </c>
      <c r="D8" s="7" t="n">
        <v>0</v>
      </c>
      <c r="E8" s="7" t="n">
        <v>0</v>
      </c>
      <c r="F8" s="7" t="inlineStr"/>
    </row>
    <row r="9">
      <c r="A9" s="8" t="n">
        <v>21450</v>
      </c>
      <c r="B9" s="8" t="n">
        <v>0</v>
      </c>
      <c r="C9" s="8" t="n">
        <v>1231</v>
      </c>
      <c r="D9" s="8" t="n">
        <v>0</v>
      </c>
      <c r="E9" s="8" t="n">
        <v>0</v>
      </c>
      <c r="F9" s="8" t="inlineStr"/>
    </row>
    <row r="10">
      <c r="A10" s="7" t="n">
        <v>21500</v>
      </c>
      <c r="B10" s="7" t="n">
        <v>30</v>
      </c>
      <c r="C10" s="7" t="n">
        <v>77530</v>
      </c>
      <c r="D10" s="7" t="n">
        <v>0</v>
      </c>
      <c r="E10" s="7" t="n">
        <v>0</v>
      </c>
      <c r="F10" s="7" t="inlineStr"/>
    </row>
    <row r="11">
      <c r="A11" s="8" t="n">
        <v>21550</v>
      </c>
      <c r="B11" s="8" t="n">
        <v>1</v>
      </c>
      <c r="C11" s="8" t="n">
        <v>1531</v>
      </c>
      <c r="D11" s="8" t="n">
        <v>0</v>
      </c>
      <c r="E11" s="8" t="n">
        <v>0</v>
      </c>
      <c r="F11" s="8" t="inlineStr"/>
    </row>
    <row r="12">
      <c r="A12" s="7" t="n">
        <v>21600</v>
      </c>
      <c r="B12" s="7" t="n">
        <v>0</v>
      </c>
      <c r="C12" s="7" t="n">
        <v>7126</v>
      </c>
      <c r="D12" s="7" t="n">
        <v>0</v>
      </c>
      <c r="E12" s="7" t="n">
        <v>0</v>
      </c>
      <c r="F12" s="7" t="inlineStr"/>
    </row>
    <row r="13">
      <c r="A13" s="8" t="n">
        <v>21650</v>
      </c>
      <c r="B13" s="8" t="n">
        <v>0</v>
      </c>
      <c r="C13" s="8" t="n">
        <v>1790</v>
      </c>
      <c r="D13" s="8" t="n">
        <v>0</v>
      </c>
      <c r="E13" s="8" t="n">
        <v>0</v>
      </c>
      <c r="F13" s="8" t="inlineStr"/>
    </row>
    <row r="14">
      <c r="A14" s="7" t="n">
        <v>21700</v>
      </c>
      <c r="B14" s="7" t="n">
        <v>0</v>
      </c>
      <c r="C14" s="7" t="n">
        <v>10690</v>
      </c>
      <c r="D14" s="7" t="n">
        <v>0</v>
      </c>
      <c r="E14" s="7" t="n">
        <v>0</v>
      </c>
      <c r="F14" s="7" t="inlineStr"/>
    </row>
    <row r="15">
      <c r="A15" s="8" t="n">
        <v>21750</v>
      </c>
      <c r="B15" s="8" t="n">
        <v>1</v>
      </c>
      <c r="C15" s="8" t="n">
        <v>2239</v>
      </c>
      <c r="D15" s="8" t="n">
        <v>0</v>
      </c>
      <c r="E15" s="8" t="n">
        <v>0</v>
      </c>
      <c r="F15" s="8" t="inlineStr"/>
    </row>
    <row r="16">
      <c r="A16" s="7" t="n">
        <v>21800</v>
      </c>
      <c r="B16" s="7" t="n">
        <v>0</v>
      </c>
      <c r="C16" s="7" t="n">
        <v>21593</v>
      </c>
      <c r="D16" s="7" t="n">
        <v>0</v>
      </c>
      <c r="E16" s="7" t="n">
        <v>0</v>
      </c>
      <c r="F16" s="7" t="inlineStr"/>
    </row>
    <row r="17">
      <c r="A17" s="8" t="n">
        <v>21850</v>
      </c>
      <c r="B17" s="8" t="n">
        <v>0</v>
      </c>
      <c r="C17" s="8" t="n">
        <v>2972</v>
      </c>
      <c r="D17" s="8" t="n">
        <v>0</v>
      </c>
      <c r="E17" s="8" t="n">
        <v>0</v>
      </c>
      <c r="F17" s="8" t="inlineStr"/>
    </row>
    <row r="18">
      <c r="A18" s="7" t="n">
        <v>21900</v>
      </c>
      <c r="B18" s="7" t="n">
        <v>0</v>
      </c>
      <c r="C18" s="7" t="n">
        <v>21916</v>
      </c>
      <c r="D18" s="7" t="n">
        <v>0</v>
      </c>
      <c r="E18" s="7" t="n">
        <v>0</v>
      </c>
      <c r="F18" s="7" t="inlineStr"/>
    </row>
    <row r="19">
      <c r="A19" s="8" t="n">
        <v>21950</v>
      </c>
      <c r="B19" s="8" t="n">
        <v>2</v>
      </c>
      <c r="C19" s="8" t="n">
        <v>3435</v>
      </c>
      <c r="D19" s="8" t="n">
        <v>0</v>
      </c>
      <c r="E19" s="8" t="n">
        <v>0</v>
      </c>
      <c r="F19" s="8" t="inlineStr"/>
    </row>
    <row r="20">
      <c r="A20" s="7" t="n">
        <v>22000</v>
      </c>
      <c r="B20" s="7" t="n">
        <v>392</v>
      </c>
      <c r="C20" s="7" t="n">
        <v>103879</v>
      </c>
      <c r="D20" s="7" t="n">
        <v>0</v>
      </c>
      <c r="E20" s="7" t="n">
        <v>0</v>
      </c>
      <c r="F20" s="7" t="inlineStr"/>
    </row>
    <row r="21">
      <c r="A21" s="8" t="n">
        <v>22050</v>
      </c>
      <c r="B21" s="8" t="n">
        <v>2</v>
      </c>
      <c r="C21" s="8" t="n">
        <v>3459</v>
      </c>
      <c r="D21" s="8" t="n">
        <v>0</v>
      </c>
      <c r="E21" s="8" t="n">
        <v>0</v>
      </c>
      <c r="F21" s="8" t="inlineStr"/>
    </row>
    <row r="22">
      <c r="A22" s="7" t="n">
        <v>22100</v>
      </c>
      <c r="B22" s="7" t="n">
        <v>8</v>
      </c>
      <c r="C22" s="7" t="n">
        <v>23522</v>
      </c>
      <c r="D22" s="7" t="n">
        <v>0</v>
      </c>
      <c r="E22" s="7" t="n">
        <v>0</v>
      </c>
      <c r="F22" s="7" t="inlineStr"/>
    </row>
    <row r="23">
      <c r="A23" s="8" t="n">
        <v>22150</v>
      </c>
      <c r="B23" s="8" t="n">
        <v>1</v>
      </c>
      <c r="C23" s="8" t="n">
        <v>4308</v>
      </c>
      <c r="D23" s="8" t="n">
        <v>0</v>
      </c>
      <c r="E23" s="8" t="n">
        <v>0</v>
      </c>
      <c r="F23" s="8" t="inlineStr"/>
    </row>
    <row r="24">
      <c r="A24" s="7" t="n">
        <v>22200</v>
      </c>
      <c r="B24" s="7" t="n">
        <v>8</v>
      </c>
      <c r="C24" s="7" t="n">
        <v>37527</v>
      </c>
      <c r="D24" s="7" t="n">
        <v>0</v>
      </c>
      <c r="E24" s="7" t="n">
        <v>0</v>
      </c>
      <c r="F24" s="7" t="inlineStr"/>
    </row>
    <row r="25">
      <c r="A25" s="8" t="n">
        <v>22250</v>
      </c>
      <c r="B25" s="8" t="n">
        <v>11</v>
      </c>
      <c r="C25" s="8" t="n">
        <v>17568</v>
      </c>
      <c r="D25" s="8" t="n">
        <v>0</v>
      </c>
      <c r="E25" s="8" t="n">
        <v>0</v>
      </c>
      <c r="F25" s="8" t="inlineStr"/>
    </row>
    <row r="26">
      <c r="A26" s="7" t="n">
        <v>22300</v>
      </c>
      <c r="B26" s="7" t="n">
        <v>64</v>
      </c>
      <c r="C26" s="7" t="n">
        <v>41863</v>
      </c>
      <c r="D26" s="7" t="n">
        <v>0</v>
      </c>
      <c r="E26" s="7" t="n">
        <v>0</v>
      </c>
      <c r="F26" s="7" t="inlineStr"/>
    </row>
    <row r="27">
      <c r="A27" s="8" t="n">
        <v>22350</v>
      </c>
      <c r="B27" s="8" t="n">
        <v>19</v>
      </c>
      <c r="C27" s="8" t="n">
        <v>12404</v>
      </c>
      <c r="D27" s="8" t="n">
        <v>0</v>
      </c>
      <c r="E27" s="8" t="n">
        <v>0</v>
      </c>
      <c r="F27" s="8" t="inlineStr"/>
    </row>
    <row r="28">
      <c r="A28" s="7" t="n">
        <v>22400</v>
      </c>
      <c r="B28" s="7" t="n">
        <v>93</v>
      </c>
      <c r="C28" s="7" t="n">
        <v>37538</v>
      </c>
      <c r="D28" s="7" t="n">
        <v>0</v>
      </c>
      <c r="E28" s="7" t="n">
        <v>0</v>
      </c>
      <c r="F28" s="7" t="inlineStr"/>
    </row>
    <row r="29">
      <c r="A29" s="8" t="n">
        <v>22450</v>
      </c>
      <c r="B29" s="8" t="n">
        <v>32</v>
      </c>
      <c r="C29" s="8" t="n">
        <v>16036</v>
      </c>
      <c r="D29" s="8" t="n">
        <v>0</v>
      </c>
      <c r="E29" s="8" t="n">
        <v>0</v>
      </c>
      <c r="F29" s="8" t="inlineStr"/>
    </row>
    <row r="30">
      <c r="A30" s="7" t="n">
        <v>22500</v>
      </c>
      <c r="B30" s="7" t="n">
        <v>2524</v>
      </c>
      <c r="C30" s="7" t="n">
        <v>157007</v>
      </c>
      <c r="D30" s="7" t="n">
        <v>0</v>
      </c>
      <c r="E30" s="7" t="n">
        <v>0</v>
      </c>
      <c r="F30" s="7" t="inlineStr"/>
    </row>
    <row r="31">
      <c r="A31" s="8" t="n">
        <v>22550</v>
      </c>
      <c r="B31" s="8" t="n">
        <v>85</v>
      </c>
      <c r="C31" s="8" t="n">
        <v>21920</v>
      </c>
      <c r="D31" s="8" t="n">
        <v>0</v>
      </c>
      <c r="E31" s="8" t="n">
        <v>0</v>
      </c>
      <c r="F31" s="8" t="inlineStr"/>
    </row>
    <row r="32">
      <c r="A32" s="7" t="n">
        <v>22600</v>
      </c>
      <c r="B32" s="7" t="n">
        <v>425</v>
      </c>
      <c r="C32" s="7" t="n">
        <v>44328</v>
      </c>
      <c r="D32" s="7" t="n">
        <v>0</v>
      </c>
      <c r="E32" s="7" t="n">
        <v>0</v>
      </c>
      <c r="F32" s="7" t="inlineStr"/>
    </row>
    <row r="33">
      <c r="A33" s="8" t="n">
        <v>22650</v>
      </c>
      <c r="B33" s="8" t="n">
        <v>111</v>
      </c>
      <c r="C33" s="8" t="n">
        <v>33641</v>
      </c>
      <c r="D33" s="8" t="n">
        <v>0</v>
      </c>
      <c r="E33" s="8" t="n">
        <v>0</v>
      </c>
      <c r="F33" s="8" t="inlineStr"/>
    </row>
    <row r="34">
      <c r="A34" s="7" t="n">
        <v>22700</v>
      </c>
      <c r="B34" s="7" t="n">
        <v>492</v>
      </c>
      <c r="C34" s="7" t="n">
        <v>76081</v>
      </c>
      <c r="D34" s="7" t="n">
        <v>0</v>
      </c>
      <c r="E34" s="7" t="n">
        <v>0</v>
      </c>
      <c r="F34" s="7" t="inlineStr"/>
    </row>
    <row r="35">
      <c r="A35" s="8" t="n">
        <v>22750</v>
      </c>
      <c r="B35" s="8" t="n">
        <v>199</v>
      </c>
      <c r="C35" s="8" t="n">
        <v>30943</v>
      </c>
      <c r="D35" s="8" t="n">
        <v>0</v>
      </c>
      <c r="E35" s="8" t="n">
        <v>0</v>
      </c>
      <c r="F35" s="8" t="inlineStr"/>
    </row>
    <row r="36">
      <c r="A36" s="7" t="n">
        <v>22800</v>
      </c>
      <c r="B36" s="7" t="n">
        <v>1149</v>
      </c>
      <c r="C36" s="7" t="n">
        <v>74170</v>
      </c>
      <c r="D36" s="7" t="n">
        <v>0</v>
      </c>
      <c r="E36" s="7" t="n">
        <v>0</v>
      </c>
      <c r="F36" s="7" t="inlineStr"/>
    </row>
    <row r="37">
      <c r="A37" s="8" t="n">
        <v>22850</v>
      </c>
      <c r="B37" s="8" t="n">
        <v>424</v>
      </c>
      <c r="C37" s="8" t="n">
        <v>29837</v>
      </c>
      <c r="D37" s="8" t="n">
        <v>0</v>
      </c>
      <c r="E37" s="8" t="n">
        <v>0</v>
      </c>
      <c r="F37" s="8" t="inlineStr"/>
    </row>
    <row r="38">
      <c r="A38" s="7" t="n">
        <v>22900</v>
      </c>
      <c r="B38" s="7" t="n">
        <v>850</v>
      </c>
      <c r="C38" s="7" t="n">
        <v>81437</v>
      </c>
      <c r="D38" s="7" t="n">
        <v>0</v>
      </c>
      <c r="E38" s="7" t="n">
        <v>0</v>
      </c>
      <c r="F38" s="7" t="inlineStr"/>
    </row>
    <row r="39">
      <c r="A39" s="8" t="n">
        <v>22950</v>
      </c>
      <c r="B39" s="8" t="n">
        <v>524</v>
      </c>
      <c r="C39" s="8" t="n">
        <v>24833</v>
      </c>
      <c r="D39" s="8" t="n">
        <v>0</v>
      </c>
      <c r="E39" s="8" t="n">
        <v>0</v>
      </c>
      <c r="F39" s="8" t="inlineStr"/>
    </row>
    <row r="40">
      <c r="A40" s="7" t="n">
        <v>23000</v>
      </c>
      <c r="B40" s="7" t="n">
        <v>11338</v>
      </c>
      <c r="C40" s="7" t="n">
        <v>142238</v>
      </c>
      <c r="D40" s="7" t="n">
        <v>0</v>
      </c>
      <c r="E40" s="7" t="n">
        <v>0</v>
      </c>
      <c r="F40" s="7" t="inlineStr"/>
    </row>
    <row r="41">
      <c r="A41" s="8" t="n">
        <v>23050</v>
      </c>
      <c r="B41" s="8" t="n">
        <v>782</v>
      </c>
      <c r="C41" s="8" t="n">
        <v>52672</v>
      </c>
      <c r="D41" s="8" t="n">
        <v>0</v>
      </c>
      <c r="E41" s="8" t="n">
        <v>0</v>
      </c>
      <c r="F41" s="8" t="inlineStr"/>
    </row>
    <row r="42">
      <c r="A42" s="7" t="n">
        <v>23100</v>
      </c>
      <c r="B42" s="7" t="n">
        <v>4986</v>
      </c>
      <c r="C42" s="7" t="n">
        <v>58239</v>
      </c>
      <c r="D42" s="7" t="n">
        <v>0</v>
      </c>
      <c r="E42" s="7" t="n">
        <v>0</v>
      </c>
      <c r="F42" s="7" t="inlineStr"/>
    </row>
    <row r="43">
      <c r="A43" s="8" t="n">
        <v>23150</v>
      </c>
      <c r="B43" s="8" t="n">
        <v>3001</v>
      </c>
      <c r="C43" s="8" t="n">
        <v>32030</v>
      </c>
      <c r="D43" s="8" t="n">
        <v>0</v>
      </c>
      <c r="E43" s="8" t="n">
        <v>0</v>
      </c>
      <c r="F43" s="8" t="inlineStr"/>
    </row>
    <row r="44">
      <c r="A44" s="7" t="n">
        <v>23200</v>
      </c>
      <c r="B44" s="7" t="n">
        <v>22096</v>
      </c>
      <c r="C44" s="7" t="n">
        <v>72448</v>
      </c>
      <c r="D44" s="7" t="n">
        <v>0</v>
      </c>
      <c r="E44" s="7" t="n">
        <v>0</v>
      </c>
      <c r="F44" s="7" t="inlineStr"/>
    </row>
    <row r="45">
      <c r="A45" s="8" t="n">
        <v>23250</v>
      </c>
      <c r="B45" s="8" t="n">
        <v>9471</v>
      </c>
      <c r="C45" s="8" t="n">
        <v>32435</v>
      </c>
      <c r="D45" s="8" t="n">
        <v>0</v>
      </c>
      <c r="E45" s="8" t="n">
        <v>0</v>
      </c>
      <c r="F45" s="8" t="inlineStr"/>
    </row>
    <row r="46">
      <c r="A46" s="7" t="n">
        <v>23300</v>
      </c>
      <c r="B46" s="7" t="n">
        <v>68683</v>
      </c>
      <c r="C46" s="7" t="n">
        <v>113709</v>
      </c>
      <c r="D46" s="7" t="n">
        <v>0</v>
      </c>
      <c r="E46" s="7" t="n">
        <v>0</v>
      </c>
      <c r="F46" s="7" t="inlineStr"/>
    </row>
    <row r="47">
      <c r="A47" s="8" t="n">
        <v>23350</v>
      </c>
      <c r="B47" s="8" t="n">
        <v>32974</v>
      </c>
      <c r="C47" s="8" t="n">
        <v>44157</v>
      </c>
      <c r="D47" s="8" t="n">
        <v>0</v>
      </c>
      <c r="E47" s="8" t="n">
        <v>0</v>
      </c>
      <c r="F47" s="8" t="inlineStr"/>
    </row>
    <row r="48">
      <c r="A48" s="7" t="n">
        <v>23400</v>
      </c>
      <c r="B48" s="7" t="n">
        <v>87559</v>
      </c>
      <c r="C48" s="7" t="n">
        <v>86972</v>
      </c>
      <c r="D48" s="7" t="n">
        <v>0</v>
      </c>
      <c r="E48" s="7" t="n">
        <v>0</v>
      </c>
      <c r="F48" s="7" t="inlineStr"/>
    </row>
    <row r="49">
      <c r="A49" s="8" t="n">
        <v>23450</v>
      </c>
      <c r="B49" s="8" t="n">
        <v>51609</v>
      </c>
      <c r="C49" s="8" t="n">
        <v>28019</v>
      </c>
      <c r="D49" s="8" t="n">
        <v>0</v>
      </c>
      <c r="E49" s="8" t="n">
        <v>0</v>
      </c>
      <c r="F49" s="8" t="inlineStr"/>
    </row>
    <row r="50">
      <c r="A50" s="7" t="n">
        <v>23500</v>
      </c>
      <c r="B50" s="7" t="n">
        <v>154056</v>
      </c>
      <c r="C50" s="7" t="n">
        <v>77527</v>
      </c>
      <c r="D50" s="7" t="n">
        <v>0</v>
      </c>
      <c r="E50" s="7" t="n">
        <v>0</v>
      </c>
      <c r="F50" s="7" t="inlineStr"/>
    </row>
    <row r="51">
      <c r="A51" s="8" t="n">
        <v>23550</v>
      </c>
      <c r="B51" s="8" t="n">
        <v>49661</v>
      </c>
      <c r="C51" s="8" t="n">
        <v>9978</v>
      </c>
      <c r="D51" s="8" t="n">
        <v>0</v>
      </c>
      <c r="E51" s="8" t="n">
        <v>0</v>
      </c>
      <c r="F51" s="8" t="inlineStr"/>
    </row>
    <row r="52">
      <c r="A52" s="7" t="n">
        <v>23600</v>
      </c>
      <c r="B52" s="7" t="n">
        <v>104570</v>
      </c>
      <c r="C52" s="7" t="n">
        <v>31253</v>
      </c>
      <c r="D52" s="7" t="n">
        <v>0</v>
      </c>
      <c r="E52" s="7" t="n">
        <v>0</v>
      </c>
      <c r="F52" s="7" t="inlineStr"/>
    </row>
    <row r="53">
      <c r="A53" s="8" t="n">
        <v>23650</v>
      </c>
      <c r="B53" s="8" t="n">
        <v>39465</v>
      </c>
      <c r="C53" s="8" t="n">
        <v>4474</v>
      </c>
      <c r="D53" s="8" t="n">
        <v>0</v>
      </c>
      <c r="E53" s="8" t="n">
        <v>0</v>
      </c>
      <c r="F53" s="8" t="inlineStr"/>
    </row>
    <row r="54">
      <c r="A54" s="7" t="n">
        <v>23700</v>
      </c>
      <c r="B54" s="7" t="n">
        <v>126256</v>
      </c>
      <c r="C54" s="7" t="n">
        <v>34592</v>
      </c>
      <c r="D54" s="7" t="n">
        <v>0</v>
      </c>
      <c r="E54" s="7" t="n">
        <v>0</v>
      </c>
      <c r="F54" s="7" t="inlineStr"/>
    </row>
    <row r="55">
      <c r="A55" s="8" t="n">
        <v>23750</v>
      </c>
      <c r="B55" s="8" t="n">
        <v>47404</v>
      </c>
      <c r="C55" s="8" t="n">
        <v>2811</v>
      </c>
      <c r="D55" s="8" t="n">
        <v>0</v>
      </c>
      <c r="E55" s="8" t="n">
        <v>0</v>
      </c>
      <c r="F55" s="8" t="inlineStr"/>
    </row>
    <row r="56">
      <c r="A56" s="7" t="n">
        <v>23800</v>
      </c>
      <c r="B56" s="7" t="n">
        <v>89091</v>
      </c>
      <c r="C56" s="7" t="n">
        <v>9914</v>
      </c>
      <c r="D56" s="7" t="n">
        <v>0</v>
      </c>
      <c r="E56" s="7" t="n">
        <v>0</v>
      </c>
      <c r="F56" s="7" t="inlineStr"/>
    </row>
    <row r="57">
      <c r="A57" s="8" t="n">
        <v>23850</v>
      </c>
      <c r="B57" s="8" t="n">
        <v>38703</v>
      </c>
      <c r="C57" s="8" t="n">
        <v>1913</v>
      </c>
      <c r="D57" s="8" t="n">
        <v>0</v>
      </c>
      <c r="E57" s="8" t="n">
        <v>0</v>
      </c>
      <c r="F57" s="8" t="inlineStr"/>
    </row>
    <row r="58">
      <c r="A58" s="7" t="n">
        <v>23900</v>
      </c>
      <c r="B58" s="7" t="n">
        <v>91617</v>
      </c>
      <c r="C58" s="7" t="n">
        <v>6643</v>
      </c>
      <c r="D58" s="7" t="n">
        <v>0</v>
      </c>
      <c r="E58" s="7" t="n">
        <v>0</v>
      </c>
      <c r="F58" s="7" t="inlineStr"/>
    </row>
    <row r="59">
      <c r="A59" s="8" t="n">
        <v>23950</v>
      </c>
      <c r="B59" s="8" t="n">
        <v>38927</v>
      </c>
      <c r="C59" s="8" t="n">
        <v>1864</v>
      </c>
      <c r="D59" s="8" t="n">
        <v>0</v>
      </c>
      <c r="E59" s="8" t="n">
        <v>0</v>
      </c>
      <c r="F59" s="8" t="inlineStr"/>
    </row>
    <row r="60">
      <c r="A60" s="7" t="n">
        <v>24000</v>
      </c>
      <c r="B60" s="7" t="n">
        <v>265524</v>
      </c>
      <c r="C60" s="7" t="n">
        <v>20276</v>
      </c>
      <c r="D60" s="7" t="n">
        <v>0</v>
      </c>
      <c r="E60" s="7" t="n">
        <v>0</v>
      </c>
      <c r="F60" s="7" t="inlineStr"/>
    </row>
    <row r="61">
      <c r="A61" s="8" t="n">
        <v>24050</v>
      </c>
      <c r="B61" s="8" t="n">
        <v>34487</v>
      </c>
      <c r="C61" s="8" t="n">
        <v>1353</v>
      </c>
      <c r="D61" s="8" t="n">
        <v>0</v>
      </c>
      <c r="E61" s="8" t="n">
        <v>0</v>
      </c>
      <c r="F61" s="8" t="inlineStr"/>
    </row>
    <row r="62">
      <c r="A62" s="7" t="n">
        <v>24100</v>
      </c>
      <c r="B62" s="7" t="n">
        <v>91814</v>
      </c>
      <c r="C62" s="7" t="n">
        <v>2428</v>
      </c>
      <c r="D62" s="7" t="n">
        <v>0</v>
      </c>
      <c r="E62" s="7" t="n">
        <v>0</v>
      </c>
      <c r="F62" s="7" t="inlineStr"/>
    </row>
    <row r="63">
      <c r="A63" s="8" t="n">
        <v>24150</v>
      </c>
      <c r="B63" s="8" t="n">
        <v>44257</v>
      </c>
      <c r="C63" s="8" t="n">
        <v>429</v>
      </c>
      <c r="D63" s="8" t="n">
        <v>0</v>
      </c>
      <c r="E63" s="8" t="n">
        <v>0</v>
      </c>
      <c r="F63" s="8" t="inlineStr"/>
    </row>
    <row r="64">
      <c r="A64" s="7" t="n">
        <v>24200</v>
      </c>
      <c r="B64" s="7" t="n">
        <v>127621</v>
      </c>
      <c r="C64" s="7" t="n">
        <v>1644</v>
      </c>
      <c r="D64" s="7" t="n">
        <v>0</v>
      </c>
      <c r="E64" s="7" t="n">
        <v>0</v>
      </c>
      <c r="F64" s="7" t="inlineStr"/>
    </row>
    <row r="65">
      <c r="A65" s="8" t="n">
        <v>24250</v>
      </c>
      <c r="B65" s="8" t="n">
        <v>25341</v>
      </c>
      <c r="C65" s="8" t="n">
        <v>329</v>
      </c>
      <c r="D65" s="8" t="n">
        <v>0</v>
      </c>
      <c r="E65" s="8" t="n">
        <v>0</v>
      </c>
      <c r="F65" s="8" t="inlineStr"/>
    </row>
    <row r="66">
      <c r="A66" s="7" t="n">
        <v>24300</v>
      </c>
      <c r="B66" s="7" t="n">
        <v>66722</v>
      </c>
      <c r="C66" s="7" t="n">
        <v>1293</v>
      </c>
      <c r="D66" s="7" t="n">
        <v>0</v>
      </c>
      <c r="E66" s="7" t="n">
        <v>0</v>
      </c>
      <c r="F66" s="7" t="inlineStr"/>
    </row>
    <row r="67">
      <c r="A67" s="8" t="n">
        <v>24350</v>
      </c>
      <c r="B67" s="8" t="n">
        <v>33030</v>
      </c>
      <c r="C67" s="8" t="n">
        <v>142</v>
      </c>
      <c r="D67" s="8" t="n">
        <v>0</v>
      </c>
      <c r="E67" s="8" t="n">
        <v>0</v>
      </c>
      <c r="F67" s="8" t="inlineStr"/>
    </row>
    <row r="68">
      <c r="A68" s="7" t="n">
        <v>24400</v>
      </c>
      <c r="B68" s="7" t="n">
        <v>77991</v>
      </c>
      <c r="C68" s="7" t="n">
        <v>1417</v>
      </c>
      <c r="D68" s="7" t="n">
        <v>0</v>
      </c>
      <c r="E68" s="7" t="n">
        <v>0</v>
      </c>
      <c r="F68" s="7" t="inlineStr"/>
    </row>
    <row r="69">
      <c r="A69" s="8" t="n">
        <v>24450</v>
      </c>
      <c r="B69" s="8" t="n">
        <v>18542</v>
      </c>
      <c r="C69" s="8" t="n">
        <v>86</v>
      </c>
      <c r="D69" s="8" t="n">
        <v>0</v>
      </c>
      <c r="E69" s="8" t="n">
        <v>0</v>
      </c>
      <c r="F69" s="8" t="inlineStr"/>
    </row>
    <row r="70">
      <c r="A70" s="7" t="n">
        <v>24500</v>
      </c>
      <c r="B70" s="7" t="n">
        <v>139202</v>
      </c>
      <c r="C70" s="7" t="n">
        <v>4614</v>
      </c>
      <c r="D70" s="7" t="n">
        <v>0</v>
      </c>
      <c r="E70" s="7" t="n">
        <v>0</v>
      </c>
      <c r="F70" s="7" t="inlineStr"/>
    </row>
    <row r="71">
      <c r="A71" s="8" t="n">
        <v>24550</v>
      </c>
      <c r="B71" s="8" t="n">
        <v>32189</v>
      </c>
      <c r="C71" s="8" t="n">
        <v>33</v>
      </c>
      <c r="D71" s="8" t="n">
        <v>0</v>
      </c>
      <c r="E71" s="8" t="n">
        <v>0</v>
      </c>
      <c r="F71" s="8" t="inlineStr"/>
    </row>
    <row r="72">
      <c r="A72" s="7" t="n">
        <v>24600</v>
      </c>
      <c r="B72" s="7" t="n">
        <v>65127</v>
      </c>
      <c r="C72" s="7" t="n">
        <v>285</v>
      </c>
      <c r="D72" s="7" t="n">
        <v>0</v>
      </c>
      <c r="E72" s="7" t="n">
        <v>0</v>
      </c>
      <c r="F72" s="7" t="inlineStr"/>
    </row>
    <row r="73">
      <c r="A73" s="8" t="n">
        <v>24650</v>
      </c>
      <c r="B73" s="8" t="n">
        <v>24291</v>
      </c>
      <c r="C73" s="8" t="n">
        <v>67</v>
      </c>
      <c r="D73" s="8" t="n">
        <v>0</v>
      </c>
      <c r="E73" s="8" t="n">
        <v>0</v>
      </c>
      <c r="F73" s="8" t="inlineStr"/>
    </row>
    <row r="74">
      <c r="A74" s="7" t="n">
        <v>24700</v>
      </c>
      <c r="B74" s="7" t="n">
        <v>73676</v>
      </c>
      <c r="C74" s="7" t="n">
        <v>101</v>
      </c>
      <c r="D74" s="7" t="n">
        <v>0</v>
      </c>
      <c r="E74" s="7" t="n">
        <v>0</v>
      </c>
      <c r="F74" s="7" t="inlineStr"/>
    </row>
    <row r="75">
      <c r="A75" s="8" t="n">
        <v>24750</v>
      </c>
      <c r="B75" s="8" t="n">
        <v>22382</v>
      </c>
      <c r="C75" s="8" t="n">
        <v>3</v>
      </c>
      <c r="D75" s="8" t="n">
        <v>0</v>
      </c>
      <c r="E75" s="8" t="n">
        <v>0</v>
      </c>
      <c r="F75" s="8" t="inlineStr"/>
    </row>
    <row r="76">
      <c r="A76" s="7" t="n">
        <v>24800</v>
      </c>
      <c r="B76" s="7" t="n">
        <v>88753</v>
      </c>
      <c r="C76" s="7" t="n">
        <v>807</v>
      </c>
      <c r="D76" s="7" t="n">
        <v>0</v>
      </c>
      <c r="E76" s="7" t="n">
        <v>0</v>
      </c>
      <c r="F76" s="7" t="inlineStr"/>
    </row>
    <row r="77">
      <c r="A77" s="8" t="n">
        <v>24850</v>
      </c>
      <c r="B77" s="8" t="n">
        <v>18585</v>
      </c>
      <c r="C77" s="8" t="n">
        <v>32</v>
      </c>
      <c r="D77" s="8" t="n">
        <v>0</v>
      </c>
      <c r="E77" s="8" t="n">
        <v>0</v>
      </c>
      <c r="F77" s="8" t="inlineStr"/>
    </row>
    <row r="78">
      <c r="A78" s="7" t="n">
        <v>24900</v>
      </c>
      <c r="B78" s="7" t="n">
        <v>41798</v>
      </c>
      <c r="C78" s="7" t="n">
        <v>296</v>
      </c>
      <c r="D78" s="7" t="n">
        <v>0</v>
      </c>
      <c r="E78" s="7" t="n">
        <v>0</v>
      </c>
      <c r="F78" s="7" t="inlineStr"/>
    </row>
    <row r="79">
      <c r="A79" s="8" t="n">
        <v>24950</v>
      </c>
      <c r="B79" s="8" t="n">
        <v>15257</v>
      </c>
      <c r="C79" s="8" t="n">
        <v>11</v>
      </c>
      <c r="D79" s="8" t="n">
        <v>0</v>
      </c>
      <c r="E79" s="8" t="n">
        <v>0</v>
      </c>
      <c r="F79" s="8" t="inlineStr"/>
    </row>
    <row r="80">
      <c r="A80" s="7" t="n">
        <v>25000</v>
      </c>
      <c r="B80" s="7" t="n">
        <v>170059</v>
      </c>
      <c r="C80" s="7" t="n">
        <v>3716</v>
      </c>
      <c r="D80" s="7" t="n">
        <v>0</v>
      </c>
      <c r="E80" s="7" t="n">
        <v>0</v>
      </c>
      <c r="F80" s="7" t="inlineStr"/>
    </row>
    <row r="81">
      <c r="A81" s="8" t="n">
        <v>25050</v>
      </c>
      <c r="B81" s="8" t="n">
        <v>12519</v>
      </c>
      <c r="C81" s="8" t="n">
        <v>18</v>
      </c>
      <c r="D81" s="8" t="n">
        <v>0</v>
      </c>
      <c r="E81" s="8" t="n">
        <v>0</v>
      </c>
      <c r="F81" s="8" t="inlineStr"/>
    </row>
    <row r="82">
      <c r="A82" s="7" t="n">
        <v>25100</v>
      </c>
      <c r="B82" s="7" t="n">
        <v>27623</v>
      </c>
      <c r="C82" s="7" t="n">
        <v>10</v>
      </c>
      <c r="D82" s="7" t="n">
        <v>0</v>
      </c>
      <c r="E82" s="7" t="n">
        <v>0</v>
      </c>
      <c r="F82" s="7" t="inlineStr"/>
    </row>
    <row r="83">
      <c r="A83" s="8" t="n">
        <v>25150</v>
      </c>
      <c r="B83" s="8" t="n">
        <v>9556</v>
      </c>
      <c r="C83" s="8" t="n">
        <v>8</v>
      </c>
      <c r="D83" s="8" t="n">
        <v>0</v>
      </c>
      <c r="E83" s="8" t="n">
        <v>0</v>
      </c>
      <c r="F83" s="8" t="inlineStr"/>
    </row>
    <row r="84">
      <c r="A84" s="7" t="n">
        <v>25200</v>
      </c>
      <c r="B84" s="7" t="n">
        <v>42412</v>
      </c>
      <c r="C84" s="7" t="n">
        <v>137</v>
      </c>
      <c r="D84" s="7" t="n">
        <v>0</v>
      </c>
      <c r="E84" s="7" t="n">
        <v>0</v>
      </c>
      <c r="F84" s="7" t="inlineStr"/>
    </row>
    <row r="85">
      <c r="A85" s="8" t="n">
        <v>25250</v>
      </c>
      <c r="B85" s="8" t="n">
        <v>11510</v>
      </c>
      <c r="C85" s="8" t="n">
        <v>5</v>
      </c>
      <c r="D85" s="8" t="n">
        <v>0</v>
      </c>
      <c r="E85" s="8" t="n">
        <v>0</v>
      </c>
      <c r="F85" s="8" t="inlineStr"/>
    </row>
    <row r="86">
      <c r="A86" s="7" t="n">
        <v>25300</v>
      </c>
      <c r="B86" s="7" t="n">
        <v>39917</v>
      </c>
      <c r="C86" s="7" t="n">
        <v>4</v>
      </c>
      <c r="D86" s="7" t="n">
        <v>0</v>
      </c>
      <c r="E86" s="7" t="n">
        <v>0</v>
      </c>
      <c r="F86" s="7" t="inlineStr"/>
    </row>
    <row r="87">
      <c r="A87" s="8" t="n">
        <v>25350</v>
      </c>
      <c r="B87" s="8" t="n">
        <v>13202</v>
      </c>
      <c r="C87" s="8" t="n">
        <v>8</v>
      </c>
      <c r="D87" s="8" t="n">
        <v>0</v>
      </c>
      <c r="E87" s="8" t="n">
        <v>0</v>
      </c>
      <c r="F87" s="8" t="inlineStr"/>
    </row>
    <row r="88">
      <c r="A88" s="7" t="n">
        <v>25400</v>
      </c>
      <c r="B88" s="7" t="n">
        <v>20856</v>
      </c>
      <c r="C88" s="7" t="n">
        <v>41</v>
      </c>
      <c r="D88" s="7" t="n">
        <v>0</v>
      </c>
      <c r="E88" s="7" t="n">
        <v>0</v>
      </c>
      <c r="F88" s="7" t="inlineStr"/>
    </row>
    <row r="89">
      <c r="A89" s="8" t="n">
        <v>25450</v>
      </c>
      <c r="B89" s="8" t="n">
        <v>7186</v>
      </c>
      <c r="C89" s="8" t="n">
        <v>2</v>
      </c>
      <c r="D89" s="8" t="n">
        <v>0</v>
      </c>
      <c r="E89" s="8" t="n">
        <v>0</v>
      </c>
      <c r="F89" s="8" t="inlineStr"/>
    </row>
    <row r="90">
      <c r="A90" s="7" t="n">
        <v>25500</v>
      </c>
      <c r="B90" s="7" t="n">
        <v>85102</v>
      </c>
      <c r="C90" s="7" t="n">
        <v>956</v>
      </c>
      <c r="D90" s="7" t="n">
        <v>0</v>
      </c>
      <c r="E90" s="7" t="n">
        <v>0</v>
      </c>
      <c r="F90" s="7" t="inlineStr"/>
    </row>
    <row r="91">
      <c r="A91" s="8" t="n">
        <v>25550</v>
      </c>
      <c r="B91" s="8" t="n">
        <v>5377</v>
      </c>
      <c r="C91" s="8" t="n">
        <v>16</v>
      </c>
      <c r="D91" s="8" t="n">
        <v>0</v>
      </c>
      <c r="E91" s="8" t="n">
        <v>0</v>
      </c>
      <c r="F91" s="8" t="inlineStr"/>
    </row>
    <row r="92">
      <c r="A92" s="7" t="n">
        <v>25600</v>
      </c>
      <c r="B92" s="7" t="n">
        <v>12007</v>
      </c>
      <c r="C92" s="7" t="n">
        <v>32</v>
      </c>
      <c r="D92" s="7" t="n">
        <v>0</v>
      </c>
      <c r="E92" s="7" t="n">
        <v>0</v>
      </c>
      <c r="F92" s="7" t="inlineStr"/>
    </row>
    <row r="93">
      <c r="A93" s="8" t="n">
        <v>25650</v>
      </c>
      <c r="B93" s="8" t="n">
        <v>1661</v>
      </c>
      <c r="C93" s="8" t="n">
        <v>12</v>
      </c>
      <c r="D93" s="8" t="n">
        <v>0</v>
      </c>
      <c r="E93" s="8" t="n">
        <v>0</v>
      </c>
      <c r="F93" s="8" t="inlineStr"/>
    </row>
    <row r="94">
      <c r="A94" s="7" t="n">
        <v>25700</v>
      </c>
      <c r="B94" s="7" t="n">
        <v>6960</v>
      </c>
      <c r="C94" s="7" t="n">
        <v>2</v>
      </c>
      <c r="D94" s="7" t="n">
        <v>0</v>
      </c>
      <c r="E94" s="7" t="n">
        <v>0</v>
      </c>
      <c r="F94" s="7" t="inlineStr"/>
    </row>
    <row r="95">
      <c r="A95" s="8" t="n">
        <v>25750</v>
      </c>
      <c r="B95" s="8" t="n">
        <v>1374</v>
      </c>
      <c r="C95" s="8" t="n">
        <v>1</v>
      </c>
      <c r="D95" s="8" t="n">
        <v>0</v>
      </c>
      <c r="E95" s="8" t="n">
        <v>0</v>
      </c>
      <c r="F95" s="8" t="inlineStr"/>
    </row>
    <row r="96">
      <c r="A96" s="7" t="n">
        <v>25800</v>
      </c>
      <c r="B96" s="7" t="n">
        <v>6413</v>
      </c>
      <c r="C96" s="7" t="n">
        <v>8</v>
      </c>
      <c r="D96" s="7" t="n">
        <v>0</v>
      </c>
      <c r="E96" s="7" t="n">
        <v>0</v>
      </c>
      <c r="F96" s="7" t="inlineStr"/>
    </row>
    <row r="97">
      <c r="A97" s="8" t="n">
        <v>25850</v>
      </c>
      <c r="B97" s="8" t="n">
        <v>1580</v>
      </c>
      <c r="C97" s="8" t="n">
        <v>5</v>
      </c>
      <c r="D97" s="8" t="n">
        <v>0</v>
      </c>
      <c r="E97" s="8" t="n">
        <v>0</v>
      </c>
      <c r="F97" s="8" t="inlineStr"/>
    </row>
    <row r="98">
      <c r="A98" s="7" t="n">
        <v>25900</v>
      </c>
      <c r="B98" s="7" t="n">
        <v>3162</v>
      </c>
      <c r="C98" s="7" t="n">
        <v>1</v>
      </c>
      <c r="D98" s="7" t="n">
        <v>0</v>
      </c>
      <c r="E98" s="7" t="n">
        <v>0</v>
      </c>
      <c r="F98" s="7" t="inlineStr"/>
    </row>
    <row r="99">
      <c r="A99" s="8" t="n">
        <v>25950</v>
      </c>
      <c r="B99" s="8" t="n">
        <v>1168</v>
      </c>
      <c r="C99" s="8" t="n">
        <v>0</v>
      </c>
      <c r="D99" s="8" t="n">
        <v>0</v>
      </c>
      <c r="E99" s="8" t="n">
        <v>0</v>
      </c>
      <c r="F99" s="8" t="inlineStr"/>
    </row>
    <row r="100">
      <c r="A100" s="7" t="n">
        <v>26000</v>
      </c>
      <c r="B100" s="7" t="n">
        <v>0</v>
      </c>
      <c r="C100" s="7" t="n">
        <v>859</v>
      </c>
      <c r="D100" s="7" t="n">
        <v>0</v>
      </c>
      <c r="E100" s="7" t="n">
        <v>0</v>
      </c>
      <c r="F100" s="7" t="inlineStr"/>
    </row>
    <row r="101">
      <c r="A101" s="8" t="n">
        <v>26050</v>
      </c>
      <c r="B101" s="8" t="n">
        <v>0</v>
      </c>
      <c r="C101" s="8" t="n">
        <v>0</v>
      </c>
      <c r="D101" s="8" t="n">
        <v>0</v>
      </c>
      <c r="E101" s="8" t="n">
        <v>0</v>
      </c>
      <c r="F101" s="8" t="inlineStr"/>
    </row>
    <row r="102">
      <c r="A102" s="9" t="n">
        <v>26100</v>
      </c>
      <c r="B102" s="9" t="n">
        <v>23246</v>
      </c>
      <c r="C102" s="9" t="n">
        <v>34</v>
      </c>
      <c r="D102" s="9" t="n">
        <v>0</v>
      </c>
      <c r="E102" s="9" t="n">
        <v>0</v>
      </c>
      <c r="F102" s="9" t="inlineStr">
        <is>
          <t>← MAX PAIN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Batch</t>
        </is>
      </c>
      <c r="B1" s="6" t="inlineStr">
        <is>
          <t>PCR</t>
        </is>
      </c>
      <c r="C1" s="6" t="inlineStr">
        <is>
          <t>Spot Price</t>
        </is>
      </c>
      <c r="D1" s="6" t="inlineStr">
        <is>
          <t>Sentiment</t>
        </is>
      </c>
      <c r="E1" s="6" t="inlineStr">
        <is>
          <t>Computed At</t>
        </is>
      </c>
    </row>
    <row r="2">
      <c r="A2" s="7" t="inlineStr">
        <is>
          <t>20260604_111809_cycl</t>
        </is>
      </c>
      <c r="B2" s="7" t="n">
        <v>0.9667</v>
      </c>
      <c r="C2" s="7" t="n">
        <v>23416.55</v>
      </c>
      <c r="D2" s="10" t="inlineStr">
        <is>
          <t>NEUTRAL</t>
        </is>
      </c>
      <c r="E2" s="7" t="inlineStr">
        <is>
          <t>2026-06-04 11:18:19</t>
        </is>
      </c>
    </row>
    <row r="3">
      <c r="A3" s="8" t="inlineStr">
        <is>
          <t>20260604_111910_cycl</t>
        </is>
      </c>
      <c r="B3" s="8" t="n">
        <v>0.9568</v>
      </c>
      <c r="C3" s="8" t="n">
        <v>23416.55</v>
      </c>
      <c r="D3" s="10" t="inlineStr">
        <is>
          <t>NEUTRAL</t>
        </is>
      </c>
      <c r="E3" s="8" t="inlineStr">
        <is>
          <t>2026-06-04 11:19:12</t>
        </is>
      </c>
    </row>
    <row r="4">
      <c r="A4" s="7" t="inlineStr">
        <is>
          <t>20260606_150549_cycl</t>
        </is>
      </c>
      <c r="B4" s="7" t="n">
        <v>0.7093</v>
      </c>
      <c r="C4" s="7" t="n">
        <v>23366.7</v>
      </c>
      <c r="D4" s="10" t="inlineStr">
        <is>
          <t>NEUTRAL</t>
        </is>
      </c>
      <c r="E4" s="7" t="inlineStr">
        <is>
          <t>2026-06-06 15:05:58</t>
        </is>
      </c>
    </row>
    <row r="5">
      <c r="A5" s="8" t="inlineStr">
        <is>
          <t>20260606_150549_cycl</t>
        </is>
      </c>
      <c r="B5" s="8" t="n">
        <v>0.7093</v>
      </c>
      <c r="C5" s="8" t="n">
        <v>23366.7</v>
      </c>
      <c r="D5" s="10" t="inlineStr">
        <is>
          <t>NEUTRAL</t>
        </is>
      </c>
      <c r="E5" s="8" t="inlineStr">
        <is>
          <t>2026-06-06 15:08:58</t>
        </is>
      </c>
    </row>
    <row r="6">
      <c r="A6" s="7" t="inlineStr">
        <is>
          <t>20260606_150549_cycl</t>
        </is>
      </c>
      <c r="B6" s="7" t="n">
        <v>0.7093</v>
      </c>
      <c r="C6" s="7" t="n">
        <v>23366.7</v>
      </c>
      <c r="D6" s="10" t="inlineStr">
        <is>
          <t>NEUTRAL</t>
        </is>
      </c>
      <c r="E6" s="7" t="inlineStr">
        <is>
          <t>2026-06-06 15:11:38</t>
        </is>
      </c>
    </row>
    <row r="7">
      <c r="A7" s="8" t="inlineStr">
        <is>
          <t>20260606_150650_cycl</t>
        </is>
      </c>
      <c r="B7" s="8" t="n">
        <v>0.7093</v>
      </c>
      <c r="C7" s="8" t="n">
        <v>23366.7</v>
      </c>
      <c r="D7" s="10" t="inlineStr">
        <is>
          <t>NEUTRAL</t>
        </is>
      </c>
      <c r="E7" s="8" t="inlineStr">
        <is>
          <t>2026-06-06 15:12:06</t>
        </is>
      </c>
    </row>
    <row r="8">
      <c r="A8" s="7" t="inlineStr">
        <is>
          <t>20260606_150848_cycl</t>
        </is>
      </c>
      <c r="B8" s="7" t="n">
        <v>0.7093</v>
      </c>
      <c r="C8" s="7" t="n">
        <v>23366.7</v>
      </c>
      <c r="D8" s="10" t="inlineStr">
        <is>
          <t>NEUTRAL</t>
        </is>
      </c>
      <c r="E8" s="7" t="inlineStr">
        <is>
          <t>2026-06-06 15:12:34</t>
        </is>
      </c>
    </row>
    <row r="9">
      <c r="A9" s="8" t="inlineStr">
        <is>
          <t>20260606_150949_cycl</t>
        </is>
      </c>
      <c r="B9" s="8" t="n">
        <v>0.7093</v>
      </c>
      <c r="C9" s="8" t="n">
        <v>23366.7</v>
      </c>
      <c r="D9" s="10" t="inlineStr">
        <is>
          <t>NEUTRAL</t>
        </is>
      </c>
      <c r="E9" s="8" t="inlineStr">
        <is>
          <t>2026-06-06 15:13:02</t>
        </is>
      </c>
    </row>
    <row r="10">
      <c r="A10" s="7" t="inlineStr">
        <is>
          <t>20260606_151111_cycl</t>
        </is>
      </c>
      <c r="B10" s="7" t="n">
        <v>0.7093</v>
      </c>
      <c r="C10" s="7" t="n">
        <v>23366.7</v>
      </c>
      <c r="D10" s="10" t="inlineStr">
        <is>
          <t>NEUTRAL</t>
        </is>
      </c>
      <c r="E10" s="7" t="inlineStr">
        <is>
          <t>2026-06-06 15:13:31</t>
        </is>
      </c>
    </row>
    <row r="11">
      <c r="A11" s="8" t="inlineStr">
        <is>
          <t>20260606_151212_cycl</t>
        </is>
      </c>
      <c r="B11" s="8" t="n">
        <v>0.7093</v>
      </c>
      <c r="C11" s="8" t="n">
        <v>23366.7</v>
      </c>
      <c r="D11" s="10" t="inlineStr">
        <is>
          <t>NEUTRAL</t>
        </is>
      </c>
      <c r="E11" s="8" t="inlineStr">
        <is>
          <t>2026-06-06 15:13:58</t>
        </is>
      </c>
    </row>
    <row r="12">
      <c r="A12" s="7" t="inlineStr">
        <is>
          <t>20260606_151313_cycl</t>
        </is>
      </c>
      <c r="B12" s="7" t="n">
        <v>0.7046</v>
      </c>
      <c r="C12" s="7" t="n">
        <v>23366.7</v>
      </c>
      <c r="D12" s="10" t="inlineStr">
        <is>
          <t>NEUTRAL</t>
        </is>
      </c>
      <c r="E12" s="7" t="inlineStr">
        <is>
          <t>2026-06-06 15:14:26</t>
        </is>
      </c>
    </row>
    <row r="13">
      <c r="A13" s="8" t="inlineStr">
        <is>
          <t>20260606_151414_cycl</t>
        </is>
      </c>
      <c r="B13" s="8" t="n">
        <v>0.6987</v>
      </c>
      <c r="C13" s="8" t="n">
        <v>23366.7</v>
      </c>
      <c r="D13" s="11" t="inlineStr">
        <is>
          <t>BULLISH</t>
        </is>
      </c>
      <c r="E13" s="8" t="inlineStr">
        <is>
          <t>2026-06-06 15:14:55</t>
        </is>
      </c>
    </row>
    <row r="14">
      <c r="A14" s="7" t="inlineStr">
        <is>
          <t>20260606_151514_cycl</t>
        </is>
      </c>
      <c r="B14" s="7" t="n">
        <v>0.7093</v>
      </c>
      <c r="C14" s="7" t="n">
        <v>23366.7</v>
      </c>
      <c r="D14" s="10" t="inlineStr">
        <is>
          <t>NEUTRAL</t>
        </is>
      </c>
      <c r="E14" s="7" t="inlineStr">
        <is>
          <t>2026-06-06 15:15:24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6" t="inlineStr">
        <is>
          <t>Strike</t>
        </is>
      </c>
      <c r="B1" s="6" t="inlineStr">
        <is>
          <t>CE OI</t>
        </is>
      </c>
      <c r="C1" s="6" t="inlineStr">
        <is>
          <t>PE OI</t>
        </is>
      </c>
      <c r="D1" s="6" t="inlineStr">
        <is>
          <t>Total OI</t>
        </is>
      </c>
      <c r="E1" s="6" t="inlineStr">
        <is>
          <t>CE IV</t>
        </is>
      </c>
      <c r="F1" s="6" t="inlineStr">
        <is>
          <t>PE IV</t>
        </is>
      </c>
      <c r="G1" s="6" t="inlineStr">
        <is>
          <t>Is Max Pain</t>
        </is>
      </c>
    </row>
    <row r="2">
      <c r="A2" s="7" t="n">
        <v>21100</v>
      </c>
      <c r="B2" s="7" t="n">
        <v>3</v>
      </c>
      <c r="C2" s="7" t="n">
        <v>102882</v>
      </c>
      <c r="D2" s="7" t="n">
        <v>102885</v>
      </c>
      <c r="E2" s="7" t="n">
        <v>58.21</v>
      </c>
      <c r="F2" s="7" t="n">
        <v>35.59</v>
      </c>
      <c r="G2" s="7" t="inlineStr"/>
    </row>
    <row r="3">
      <c r="A3" s="8" t="n">
        <v>21150</v>
      </c>
      <c r="B3" s="8" t="n">
        <v>0</v>
      </c>
      <c r="C3" s="8" t="n">
        <v>2139</v>
      </c>
      <c r="D3" s="8" t="n">
        <v>2139</v>
      </c>
      <c r="E3" s="8" t="n">
        <v>0</v>
      </c>
      <c r="F3" s="8" t="n">
        <v>35.09</v>
      </c>
      <c r="G3" s="8" t="inlineStr"/>
    </row>
    <row r="4">
      <c r="A4" s="7" t="n">
        <v>21200</v>
      </c>
      <c r="B4" s="7" t="n">
        <v>0</v>
      </c>
      <c r="C4" s="7" t="n">
        <v>17629</v>
      </c>
      <c r="D4" s="7" t="n">
        <v>17629</v>
      </c>
      <c r="E4" s="7" t="n">
        <v>0</v>
      </c>
      <c r="F4" s="7" t="n">
        <v>34.11</v>
      </c>
      <c r="G4" s="7" t="inlineStr"/>
    </row>
    <row r="5">
      <c r="A5" s="8" t="n">
        <v>21250</v>
      </c>
      <c r="B5" s="8" t="n">
        <v>0</v>
      </c>
      <c r="C5" s="8" t="n">
        <v>1672</v>
      </c>
      <c r="D5" s="8" t="n">
        <v>1672</v>
      </c>
      <c r="E5" s="8" t="n">
        <v>0</v>
      </c>
      <c r="F5" s="8" t="n">
        <v>33.37</v>
      </c>
      <c r="G5" s="8" t="inlineStr"/>
    </row>
    <row r="6">
      <c r="A6" s="7" t="n">
        <v>21300</v>
      </c>
      <c r="B6" s="7" t="n">
        <v>1</v>
      </c>
      <c r="C6" s="7" t="n">
        <v>7325</v>
      </c>
      <c r="D6" s="7" t="n">
        <v>7326</v>
      </c>
      <c r="E6" s="7" t="n">
        <v>0</v>
      </c>
      <c r="F6" s="7" t="n">
        <v>32.85</v>
      </c>
      <c r="G6" s="7" t="inlineStr"/>
    </row>
    <row r="7">
      <c r="A7" s="8" t="n">
        <v>21350</v>
      </c>
      <c r="B7" s="8" t="n">
        <v>1</v>
      </c>
      <c r="C7" s="8" t="n">
        <v>879</v>
      </c>
      <c r="D7" s="8" t="n">
        <v>880</v>
      </c>
      <c r="E7" s="8" t="n">
        <v>43.89</v>
      </c>
      <c r="F7" s="8" t="n">
        <v>32.32</v>
      </c>
      <c r="G7" s="8" t="inlineStr"/>
    </row>
    <row r="8">
      <c r="A8" s="7" t="n">
        <v>21400</v>
      </c>
      <c r="B8" s="7" t="n">
        <v>2</v>
      </c>
      <c r="C8" s="7" t="n">
        <v>6913</v>
      </c>
      <c r="D8" s="7" t="n">
        <v>6915</v>
      </c>
      <c r="E8" s="7" t="n">
        <v>0</v>
      </c>
      <c r="F8" s="7" t="n">
        <v>31.77</v>
      </c>
      <c r="G8" s="7" t="inlineStr"/>
    </row>
    <row r="9">
      <c r="A9" s="8" t="n">
        <v>21450</v>
      </c>
      <c r="B9" s="8" t="n">
        <v>0</v>
      </c>
      <c r="C9" s="8" t="n">
        <v>1231</v>
      </c>
      <c r="D9" s="8" t="n">
        <v>1231</v>
      </c>
      <c r="E9" s="8" t="n">
        <v>0</v>
      </c>
      <c r="F9" s="8" t="n">
        <v>30.82</v>
      </c>
      <c r="G9" s="8" t="inlineStr"/>
    </row>
    <row r="10">
      <c r="A10" s="7" t="n">
        <v>21500</v>
      </c>
      <c r="B10" s="7" t="n">
        <v>30</v>
      </c>
      <c r="C10" s="7" t="n">
        <v>77530</v>
      </c>
      <c r="D10" s="7" t="n">
        <v>77560</v>
      </c>
      <c r="E10" s="7" t="n">
        <v>53.39</v>
      </c>
      <c r="F10" s="7" t="n">
        <v>30.62</v>
      </c>
      <c r="G10" s="7" t="inlineStr"/>
    </row>
    <row r="11">
      <c r="A11" s="8" t="n">
        <v>21550</v>
      </c>
      <c r="B11" s="8" t="n">
        <v>1</v>
      </c>
      <c r="C11" s="8" t="n">
        <v>1531</v>
      </c>
      <c r="D11" s="8" t="n">
        <v>1532</v>
      </c>
      <c r="E11" s="8" t="n">
        <v>70.09999999999999</v>
      </c>
      <c r="F11" s="8" t="n">
        <v>29.33</v>
      </c>
      <c r="G11" s="8" t="inlineStr"/>
    </row>
    <row r="12">
      <c r="A12" s="7" t="n">
        <v>21600</v>
      </c>
      <c r="B12" s="7" t="n">
        <v>0</v>
      </c>
      <c r="C12" s="7" t="n">
        <v>7126</v>
      </c>
      <c r="D12" s="7" t="n">
        <v>7126</v>
      </c>
      <c r="E12" s="7" t="n">
        <v>0</v>
      </c>
      <c r="F12" s="7" t="n">
        <v>29.26</v>
      </c>
      <c r="G12" s="7" t="inlineStr"/>
    </row>
    <row r="13">
      <c r="A13" s="8" t="n">
        <v>21650</v>
      </c>
      <c r="B13" s="8" t="n">
        <v>0</v>
      </c>
      <c r="C13" s="8" t="n">
        <v>1790</v>
      </c>
      <c r="D13" s="8" t="n">
        <v>1790</v>
      </c>
      <c r="E13" s="8" t="n">
        <v>0</v>
      </c>
      <c r="F13" s="8" t="n">
        <v>28.34</v>
      </c>
      <c r="G13" s="8" t="inlineStr"/>
    </row>
    <row r="14">
      <c r="A14" s="7" t="n">
        <v>21700</v>
      </c>
      <c r="B14" s="7" t="n">
        <v>0</v>
      </c>
      <c r="C14" s="7" t="n">
        <v>10690</v>
      </c>
      <c r="D14" s="7" t="n">
        <v>10690</v>
      </c>
      <c r="E14" s="7" t="n">
        <v>0</v>
      </c>
      <c r="F14" s="7" t="n">
        <v>27.59</v>
      </c>
      <c r="G14" s="7" t="inlineStr"/>
    </row>
    <row r="15">
      <c r="A15" s="8" t="n">
        <v>21750</v>
      </c>
      <c r="B15" s="8" t="n">
        <v>1</v>
      </c>
      <c r="C15" s="8" t="n">
        <v>2239</v>
      </c>
      <c r="D15" s="8" t="n">
        <v>2240</v>
      </c>
      <c r="E15" s="8" t="n">
        <v>0</v>
      </c>
      <c r="F15" s="8" t="n">
        <v>26.98</v>
      </c>
      <c r="G15" s="8" t="inlineStr"/>
    </row>
    <row r="16">
      <c r="A16" s="7" t="n">
        <v>21800</v>
      </c>
      <c r="B16" s="7" t="n">
        <v>0</v>
      </c>
      <c r="C16" s="7" t="n">
        <v>21593</v>
      </c>
      <c r="D16" s="7" t="n">
        <v>21593</v>
      </c>
      <c r="E16" s="7" t="n">
        <v>0</v>
      </c>
      <c r="F16" s="7" t="n">
        <v>26.22</v>
      </c>
      <c r="G16" s="7" t="inlineStr"/>
    </row>
    <row r="17">
      <c r="A17" s="8" t="n">
        <v>21850</v>
      </c>
      <c r="B17" s="8" t="n">
        <v>0</v>
      </c>
      <c r="C17" s="8" t="n">
        <v>2972</v>
      </c>
      <c r="D17" s="8" t="n">
        <v>2972</v>
      </c>
      <c r="E17" s="8" t="n">
        <v>0</v>
      </c>
      <c r="F17" s="8" t="n">
        <v>25.85</v>
      </c>
      <c r="G17" s="8" t="inlineStr"/>
    </row>
    <row r="18">
      <c r="A18" s="7" t="n">
        <v>21900</v>
      </c>
      <c r="B18" s="7" t="n">
        <v>0</v>
      </c>
      <c r="C18" s="7" t="n">
        <v>21916</v>
      </c>
      <c r="D18" s="7" t="n">
        <v>21916</v>
      </c>
      <c r="E18" s="7" t="n">
        <v>0</v>
      </c>
      <c r="F18" s="7" t="n">
        <v>25.08</v>
      </c>
      <c r="G18" s="7" t="inlineStr"/>
    </row>
    <row r="19">
      <c r="A19" s="8" t="n">
        <v>21950</v>
      </c>
      <c r="B19" s="8" t="n">
        <v>2</v>
      </c>
      <c r="C19" s="8" t="n">
        <v>3435</v>
      </c>
      <c r="D19" s="8" t="n">
        <v>3437</v>
      </c>
      <c r="E19" s="8" t="n">
        <v>0</v>
      </c>
      <c r="F19" s="8" t="n">
        <v>24.31</v>
      </c>
      <c r="G19" s="8" t="inlineStr"/>
    </row>
    <row r="20">
      <c r="A20" s="7" t="n">
        <v>22000</v>
      </c>
      <c r="B20" s="7" t="n">
        <v>392</v>
      </c>
      <c r="C20" s="7" t="n">
        <v>103879</v>
      </c>
      <c r="D20" s="7" t="n">
        <v>104271</v>
      </c>
      <c r="E20" s="7" t="n">
        <v>41.34</v>
      </c>
      <c r="F20" s="7" t="n">
        <v>23.76</v>
      </c>
      <c r="G20" s="7" t="inlineStr"/>
    </row>
    <row r="21">
      <c r="A21" s="8" t="n">
        <v>22050</v>
      </c>
      <c r="B21" s="8" t="n">
        <v>2</v>
      </c>
      <c r="C21" s="8" t="n">
        <v>3459</v>
      </c>
      <c r="D21" s="8" t="n">
        <v>3461</v>
      </c>
      <c r="E21" s="8" t="n">
        <v>39.96</v>
      </c>
      <c r="F21" s="8" t="n">
        <v>22.76</v>
      </c>
      <c r="G21" s="8" t="inlineStr"/>
    </row>
    <row r="22">
      <c r="A22" s="7" t="n">
        <v>22100</v>
      </c>
      <c r="B22" s="7" t="n">
        <v>8</v>
      </c>
      <c r="C22" s="7" t="n">
        <v>23522</v>
      </c>
      <c r="D22" s="7" t="n">
        <v>23530</v>
      </c>
      <c r="E22" s="7" t="n">
        <v>34.7</v>
      </c>
      <c r="F22" s="7" t="n">
        <v>22.09</v>
      </c>
      <c r="G22" s="7" t="inlineStr"/>
    </row>
    <row r="23">
      <c r="A23" s="8" t="n">
        <v>22150</v>
      </c>
      <c r="B23" s="8" t="n">
        <v>1</v>
      </c>
      <c r="C23" s="8" t="n">
        <v>4308</v>
      </c>
      <c r="D23" s="8" t="n">
        <v>4309</v>
      </c>
      <c r="E23" s="8" t="n">
        <v>0</v>
      </c>
      <c r="F23" s="8" t="n">
        <v>21.31</v>
      </c>
      <c r="G23" s="8" t="inlineStr"/>
    </row>
    <row r="24">
      <c r="A24" s="7" t="n">
        <v>22200</v>
      </c>
      <c r="B24" s="7" t="n">
        <v>8</v>
      </c>
      <c r="C24" s="7" t="n">
        <v>37527</v>
      </c>
      <c r="D24" s="7" t="n">
        <v>37535</v>
      </c>
      <c r="E24" s="7" t="n">
        <v>35.53</v>
      </c>
      <c r="F24" s="7" t="n">
        <v>20.73</v>
      </c>
      <c r="G24" s="7" t="inlineStr"/>
    </row>
    <row r="25">
      <c r="A25" s="8" t="n">
        <v>22250</v>
      </c>
      <c r="B25" s="8" t="n">
        <v>11</v>
      </c>
      <c r="C25" s="8" t="n">
        <v>17568</v>
      </c>
      <c r="D25" s="8" t="n">
        <v>17579</v>
      </c>
      <c r="E25" s="8" t="n">
        <v>40.88</v>
      </c>
      <c r="F25" s="8" t="n">
        <v>19.85</v>
      </c>
      <c r="G25" s="8" t="inlineStr"/>
    </row>
    <row r="26">
      <c r="A26" s="7" t="n">
        <v>22300</v>
      </c>
      <c r="B26" s="7" t="n">
        <v>64</v>
      </c>
      <c r="C26" s="7" t="n">
        <v>41863</v>
      </c>
      <c r="D26" s="7" t="n">
        <v>41927</v>
      </c>
      <c r="E26" s="7" t="n">
        <v>33.3</v>
      </c>
      <c r="F26" s="7" t="n">
        <v>19.15</v>
      </c>
      <c r="G26" s="7" t="inlineStr"/>
    </row>
    <row r="27">
      <c r="A27" s="8" t="n">
        <v>22350</v>
      </c>
      <c r="B27" s="8" t="n">
        <v>19</v>
      </c>
      <c r="C27" s="8" t="n">
        <v>12404</v>
      </c>
      <c r="D27" s="8" t="n">
        <v>12423</v>
      </c>
      <c r="E27" s="8" t="n">
        <v>31.57</v>
      </c>
      <c r="F27" s="8" t="n">
        <v>18.69</v>
      </c>
      <c r="G27" s="8" t="inlineStr"/>
    </row>
    <row r="28">
      <c r="A28" s="7" t="n">
        <v>22400</v>
      </c>
      <c r="B28" s="7" t="n">
        <v>93</v>
      </c>
      <c r="C28" s="7" t="n">
        <v>37538</v>
      </c>
      <c r="D28" s="7" t="n">
        <v>37631</v>
      </c>
      <c r="E28" s="7" t="n">
        <v>30.9</v>
      </c>
      <c r="F28" s="7" t="n">
        <v>18.04</v>
      </c>
      <c r="G28" s="7" t="inlineStr"/>
    </row>
    <row r="29">
      <c r="A29" s="8" t="n">
        <v>22450</v>
      </c>
      <c r="B29" s="8" t="n">
        <v>32</v>
      </c>
      <c r="C29" s="8" t="n">
        <v>16036</v>
      </c>
      <c r="D29" s="8" t="n">
        <v>16068</v>
      </c>
      <c r="E29" s="8" t="n">
        <v>31.13</v>
      </c>
      <c r="F29" s="8" t="n">
        <v>17.36</v>
      </c>
      <c r="G29" s="8" t="inlineStr"/>
    </row>
    <row r="30">
      <c r="A30" s="7" t="n">
        <v>22500</v>
      </c>
      <c r="B30" s="7" t="n">
        <v>2524</v>
      </c>
      <c r="C30" s="7" t="n">
        <v>157007</v>
      </c>
      <c r="D30" s="7" t="n">
        <v>159531</v>
      </c>
      <c r="E30" s="7" t="n">
        <v>23</v>
      </c>
      <c r="F30" s="7" t="n">
        <v>16.85</v>
      </c>
      <c r="G30" s="7" t="inlineStr"/>
    </row>
    <row r="31">
      <c r="A31" s="8" t="n">
        <v>22550</v>
      </c>
      <c r="B31" s="8" t="n">
        <v>85</v>
      </c>
      <c r="C31" s="8" t="n">
        <v>21920</v>
      </c>
      <c r="D31" s="8" t="n">
        <v>22005</v>
      </c>
      <c r="E31" s="8" t="n">
        <v>30.68</v>
      </c>
      <c r="F31" s="8" t="n">
        <v>16.24</v>
      </c>
      <c r="G31" s="8" t="inlineStr"/>
    </row>
    <row r="32">
      <c r="A32" s="7" t="n">
        <v>22600</v>
      </c>
      <c r="B32" s="7" t="n">
        <v>425</v>
      </c>
      <c r="C32" s="7" t="n">
        <v>44328</v>
      </c>
      <c r="D32" s="7" t="n">
        <v>44753</v>
      </c>
      <c r="E32" s="7" t="n">
        <v>23.63</v>
      </c>
      <c r="F32" s="7" t="n">
        <v>15.54</v>
      </c>
      <c r="G32" s="7" t="inlineStr"/>
    </row>
    <row r="33">
      <c r="A33" s="8" t="n">
        <v>22650</v>
      </c>
      <c r="B33" s="8" t="n">
        <v>111</v>
      </c>
      <c r="C33" s="8" t="n">
        <v>33641</v>
      </c>
      <c r="D33" s="8" t="n">
        <v>33752</v>
      </c>
      <c r="E33" s="8" t="n">
        <v>24.42</v>
      </c>
      <c r="F33" s="8" t="n">
        <v>15.12</v>
      </c>
      <c r="G33" s="8" t="inlineStr"/>
    </row>
    <row r="34">
      <c r="A34" s="7" t="n">
        <v>22700</v>
      </c>
      <c r="B34" s="7" t="n">
        <v>492</v>
      </c>
      <c r="C34" s="7" t="n">
        <v>76081</v>
      </c>
      <c r="D34" s="7" t="n">
        <v>76573</v>
      </c>
      <c r="E34" s="7" t="n">
        <v>21.12</v>
      </c>
      <c r="F34" s="7" t="n">
        <v>14.65</v>
      </c>
      <c r="G34" s="7" t="inlineStr"/>
    </row>
    <row r="35">
      <c r="A35" s="8" t="n">
        <v>22750</v>
      </c>
      <c r="B35" s="8" t="n">
        <v>199</v>
      </c>
      <c r="C35" s="8" t="n">
        <v>30943</v>
      </c>
      <c r="D35" s="8" t="n">
        <v>31142</v>
      </c>
      <c r="E35" s="8" t="n">
        <v>23.22</v>
      </c>
      <c r="F35" s="8" t="n">
        <v>14.43</v>
      </c>
      <c r="G35" s="8" t="inlineStr"/>
    </row>
    <row r="36">
      <c r="A36" s="7" t="n">
        <v>22800</v>
      </c>
      <c r="B36" s="7" t="n">
        <v>1149</v>
      </c>
      <c r="C36" s="7" t="n">
        <v>74170</v>
      </c>
      <c r="D36" s="7" t="n">
        <v>75319</v>
      </c>
      <c r="E36" s="7" t="n">
        <v>19.25</v>
      </c>
      <c r="F36" s="7" t="n">
        <v>14.16</v>
      </c>
      <c r="G36" s="7" t="inlineStr"/>
    </row>
    <row r="37">
      <c r="A37" s="8" t="n">
        <v>22850</v>
      </c>
      <c r="B37" s="8" t="n">
        <v>424</v>
      </c>
      <c r="C37" s="8" t="n">
        <v>29837</v>
      </c>
      <c r="D37" s="8" t="n">
        <v>30261</v>
      </c>
      <c r="E37" s="8" t="n">
        <v>18.61</v>
      </c>
      <c r="F37" s="8" t="n">
        <v>13.86</v>
      </c>
      <c r="G37" s="8" t="inlineStr"/>
    </row>
    <row r="38">
      <c r="A38" s="7" t="n">
        <v>22900</v>
      </c>
      <c r="B38" s="7" t="n">
        <v>850</v>
      </c>
      <c r="C38" s="7" t="n">
        <v>81437</v>
      </c>
      <c r="D38" s="7" t="n">
        <v>82287</v>
      </c>
      <c r="E38" s="7" t="n">
        <v>17.72</v>
      </c>
      <c r="F38" s="7" t="n">
        <v>13.7</v>
      </c>
      <c r="G38" s="7" t="inlineStr"/>
    </row>
    <row r="39">
      <c r="A39" s="8" t="n">
        <v>22950</v>
      </c>
      <c r="B39" s="8" t="n">
        <v>524</v>
      </c>
      <c r="C39" s="8" t="n">
        <v>24833</v>
      </c>
      <c r="D39" s="8" t="n">
        <v>25357</v>
      </c>
      <c r="E39" s="8" t="n">
        <v>17.18</v>
      </c>
      <c r="F39" s="8" t="n">
        <v>13.55</v>
      </c>
      <c r="G39" s="8" t="inlineStr"/>
    </row>
    <row r="40">
      <c r="A40" s="7" t="n">
        <v>23000</v>
      </c>
      <c r="B40" s="7" t="n">
        <v>11338</v>
      </c>
      <c r="C40" s="7" t="n">
        <v>142238</v>
      </c>
      <c r="D40" s="7" t="n">
        <v>153576</v>
      </c>
      <c r="E40" s="7" t="n">
        <v>15.43</v>
      </c>
      <c r="F40" s="7" t="n">
        <v>13.44</v>
      </c>
      <c r="G40" s="7" t="inlineStr"/>
    </row>
    <row r="41">
      <c r="A41" s="8" t="n">
        <v>23050</v>
      </c>
      <c r="B41" s="8" t="n">
        <v>782</v>
      </c>
      <c r="C41" s="8" t="n">
        <v>52672</v>
      </c>
      <c r="D41" s="8" t="n">
        <v>53454</v>
      </c>
      <c r="E41" s="8" t="n">
        <v>15.96</v>
      </c>
      <c r="F41" s="8" t="n">
        <v>13.24</v>
      </c>
      <c r="G41" s="8" t="inlineStr"/>
    </row>
    <row r="42">
      <c r="A42" s="7" t="n">
        <v>23100</v>
      </c>
      <c r="B42" s="7" t="n">
        <v>4986</v>
      </c>
      <c r="C42" s="7" t="n">
        <v>58239</v>
      </c>
      <c r="D42" s="7" t="n">
        <v>63225</v>
      </c>
      <c r="E42" s="7" t="n">
        <v>14.9</v>
      </c>
      <c r="F42" s="7" t="n">
        <v>13.12</v>
      </c>
      <c r="G42" s="7" t="inlineStr"/>
    </row>
    <row r="43">
      <c r="A43" s="8" t="n">
        <v>23150</v>
      </c>
      <c r="B43" s="8" t="n">
        <v>3001</v>
      </c>
      <c r="C43" s="8" t="n">
        <v>32030</v>
      </c>
      <c r="D43" s="8" t="n">
        <v>35031</v>
      </c>
      <c r="E43" s="8" t="n">
        <v>14.56</v>
      </c>
      <c r="F43" s="8" t="n">
        <v>13.07</v>
      </c>
      <c r="G43" s="8" t="inlineStr"/>
    </row>
    <row r="44">
      <c r="A44" s="7" t="n">
        <v>23200</v>
      </c>
      <c r="B44" s="7" t="n">
        <v>22096</v>
      </c>
      <c r="C44" s="7" t="n">
        <v>72448</v>
      </c>
      <c r="D44" s="7" t="n">
        <v>94544</v>
      </c>
      <c r="E44" s="7" t="n">
        <v>14.74</v>
      </c>
      <c r="F44" s="7" t="n">
        <v>12.94</v>
      </c>
      <c r="G44" s="7" t="inlineStr"/>
    </row>
    <row r="45">
      <c r="A45" s="8" t="n">
        <v>23250</v>
      </c>
      <c r="B45" s="8" t="n">
        <v>9471</v>
      </c>
      <c r="C45" s="8" t="n">
        <v>32435</v>
      </c>
      <c r="D45" s="8" t="n">
        <v>41906</v>
      </c>
      <c r="E45" s="8" t="n">
        <v>14.36</v>
      </c>
      <c r="F45" s="8" t="n">
        <v>12.95</v>
      </c>
      <c r="G45" s="8" t="inlineStr"/>
    </row>
    <row r="46">
      <c r="A46" s="7" t="n">
        <v>23300</v>
      </c>
      <c r="B46" s="7" t="n">
        <v>68683</v>
      </c>
      <c r="C46" s="7" t="n">
        <v>113709</v>
      </c>
      <c r="D46" s="7" t="n">
        <v>182392</v>
      </c>
      <c r="E46" s="7" t="n">
        <v>14.28</v>
      </c>
      <c r="F46" s="7" t="n">
        <v>12.88</v>
      </c>
      <c r="G46" s="7" t="inlineStr"/>
    </row>
    <row r="47">
      <c r="A47" s="8" t="n">
        <v>23350</v>
      </c>
      <c r="B47" s="8" t="n">
        <v>32974</v>
      </c>
      <c r="C47" s="8" t="n">
        <v>44157</v>
      </c>
      <c r="D47" s="8" t="n">
        <v>77131</v>
      </c>
      <c r="E47" s="8" t="n">
        <v>14.24</v>
      </c>
      <c r="F47" s="8" t="n">
        <v>12.89</v>
      </c>
      <c r="G47" s="8" t="inlineStr"/>
    </row>
    <row r="48">
      <c r="A48" s="7" t="n">
        <v>23400</v>
      </c>
      <c r="B48" s="7" t="n">
        <v>87559</v>
      </c>
      <c r="C48" s="7" t="n">
        <v>86972</v>
      </c>
      <c r="D48" s="7" t="n">
        <v>174531</v>
      </c>
      <c r="E48" s="7" t="n">
        <v>14.19</v>
      </c>
      <c r="F48" s="7" t="n">
        <v>12.87</v>
      </c>
      <c r="G48" s="7" t="inlineStr"/>
    </row>
    <row r="49">
      <c r="A49" s="8" t="n">
        <v>23450</v>
      </c>
      <c r="B49" s="8" t="n">
        <v>51609</v>
      </c>
      <c r="C49" s="8" t="n">
        <v>28019</v>
      </c>
      <c r="D49" s="8" t="n">
        <v>79628</v>
      </c>
      <c r="E49" s="8" t="n">
        <v>14.2</v>
      </c>
      <c r="F49" s="8" t="n">
        <v>12.81</v>
      </c>
      <c r="G49" s="8" t="inlineStr"/>
    </row>
    <row r="50">
      <c r="A50" s="7" t="n">
        <v>23500</v>
      </c>
      <c r="B50" s="7" t="n">
        <v>154056</v>
      </c>
      <c r="C50" s="7" t="n">
        <v>77527</v>
      </c>
      <c r="D50" s="7" t="n">
        <v>231583</v>
      </c>
      <c r="E50" s="7" t="n">
        <v>14.21</v>
      </c>
      <c r="F50" s="7" t="n">
        <v>12.68</v>
      </c>
      <c r="G50" s="7" t="inlineStr"/>
    </row>
    <row r="51">
      <c r="A51" s="8" t="n">
        <v>23550</v>
      </c>
      <c r="B51" s="8" t="n">
        <v>49661</v>
      </c>
      <c r="C51" s="8" t="n">
        <v>9978</v>
      </c>
      <c r="D51" s="8" t="n">
        <v>59639</v>
      </c>
      <c r="E51" s="8" t="n">
        <v>14.26</v>
      </c>
      <c r="F51" s="8" t="n">
        <v>12.6</v>
      </c>
      <c r="G51" s="8" t="inlineStr"/>
    </row>
    <row r="52">
      <c r="A52" s="7" t="n">
        <v>23600</v>
      </c>
      <c r="B52" s="7" t="n">
        <v>104570</v>
      </c>
      <c r="C52" s="7" t="n">
        <v>31253</v>
      </c>
      <c r="D52" s="7" t="n">
        <v>135823</v>
      </c>
      <c r="E52" s="7" t="n">
        <v>14.35</v>
      </c>
      <c r="F52" s="7" t="n">
        <v>12.39</v>
      </c>
      <c r="G52" s="7" t="inlineStr"/>
    </row>
    <row r="53">
      <c r="A53" s="8" t="n">
        <v>23650</v>
      </c>
      <c r="B53" s="8" t="n">
        <v>39465</v>
      </c>
      <c r="C53" s="8" t="n">
        <v>4474</v>
      </c>
      <c r="D53" s="8" t="n">
        <v>43939</v>
      </c>
      <c r="E53" s="8" t="n">
        <v>14.52</v>
      </c>
      <c r="F53" s="8" t="n">
        <v>12.28</v>
      </c>
      <c r="G53" s="8" t="inlineStr"/>
    </row>
    <row r="54">
      <c r="A54" s="7" t="n">
        <v>23700</v>
      </c>
      <c r="B54" s="7" t="n">
        <v>126256</v>
      </c>
      <c r="C54" s="7" t="n">
        <v>34592</v>
      </c>
      <c r="D54" s="7" t="n">
        <v>160848</v>
      </c>
      <c r="E54" s="7" t="n">
        <v>14.69</v>
      </c>
      <c r="F54" s="7" t="n">
        <v>12.72</v>
      </c>
      <c r="G54" s="7" t="inlineStr"/>
    </row>
    <row r="55">
      <c r="A55" s="8" t="n">
        <v>23750</v>
      </c>
      <c r="B55" s="8" t="n">
        <v>47404</v>
      </c>
      <c r="C55" s="8" t="n">
        <v>2811</v>
      </c>
      <c r="D55" s="8" t="n">
        <v>50215</v>
      </c>
      <c r="E55" s="8" t="n">
        <v>14.96</v>
      </c>
      <c r="F55" s="8" t="n">
        <v>12.07</v>
      </c>
      <c r="G55" s="8" t="inlineStr"/>
    </row>
    <row r="56">
      <c r="A56" s="7" t="n">
        <v>23800</v>
      </c>
      <c r="B56" s="7" t="n">
        <v>89091</v>
      </c>
      <c r="C56" s="7" t="n">
        <v>9914</v>
      </c>
      <c r="D56" s="7" t="n">
        <v>99005</v>
      </c>
      <c r="E56" s="7" t="n">
        <v>15.22</v>
      </c>
      <c r="F56" s="7" t="n">
        <v>10.94</v>
      </c>
      <c r="G56" s="7" t="inlineStr"/>
    </row>
    <row r="57">
      <c r="A57" s="8" t="n">
        <v>23850</v>
      </c>
      <c r="B57" s="8" t="n">
        <v>38703</v>
      </c>
      <c r="C57" s="8" t="n">
        <v>1913</v>
      </c>
      <c r="D57" s="8" t="n">
        <v>40616</v>
      </c>
      <c r="E57" s="8" t="n">
        <v>15.56</v>
      </c>
      <c r="F57" s="8" t="n">
        <v>11.62</v>
      </c>
      <c r="G57" s="8" t="inlineStr"/>
    </row>
    <row r="58">
      <c r="A58" s="7" t="n">
        <v>23900</v>
      </c>
      <c r="B58" s="7" t="n">
        <v>91617</v>
      </c>
      <c r="C58" s="7" t="n">
        <v>6643</v>
      </c>
      <c r="D58" s="7" t="n">
        <v>98260</v>
      </c>
      <c r="E58" s="7" t="n">
        <v>15.92</v>
      </c>
      <c r="F58" s="7" t="n">
        <v>11.05</v>
      </c>
      <c r="G58" s="7" t="inlineStr"/>
    </row>
    <row r="59">
      <c r="A59" s="8" t="n">
        <v>23950</v>
      </c>
      <c r="B59" s="8" t="n">
        <v>38927</v>
      </c>
      <c r="C59" s="8" t="n">
        <v>1864</v>
      </c>
      <c r="D59" s="8" t="n">
        <v>40791</v>
      </c>
      <c r="E59" s="8" t="n">
        <v>16.19</v>
      </c>
      <c r="F59" s="8" t="n">
        <v>9.550000000000001</v>
      </c>
      <c r="G59" s="8" t="inlineStr"/>
    </row>
    <row r="60">
      <c r="A60" s="7" t="n">
        <v>24000</v>
      </c>
      <c r="B60" s="7" t="n">
        <v>265524</v>
      </c>
      <c r="C60" s="7" t="n">
        <v>20276</v>
      </c>
      <c r="D60" s="7" t="n">
        <v>285800</v>
      </c>
      <c r="E60" s="7" t="n">
        <v>16.54</v>
      </c>
      <c r="F60" s="7" t="n">
        <v>0</v>
      </c>
      <c r="G60" s="7" t="inlineStr"/>
    </row>
    <row r="61">
      <c r="A61" s="8" t="n">
        <v>24050</v>
      </c>
      <c r="B61" s="8" t="n">
        <v>34487</v>
      </c>
      <c r="C61" s="8" t="n">
        <v>1353</v>
      </c>
      <c r="D61" s="8" t="n">
        <v>35840</v>
      </c>
      <c r="E61" s="8" t="n">
        <v>16.82</v>
      </c>
      <c r="F61" s="8" t="n">
        <v>0</v>
      </c>
      <c r="G61" s="8" t="inlineStr"/>
    </row>
    <row r="62">
      <c r="A62" s="7" t="n">
        <v>24100</v>
      </c>
      <c r="B62" s="7" t="n">
        <v>91814</v>
      </c>
      <c r="C62" s="7" t="n">
        <v>2428</v>
      </c>
      <c r="D62" s="7" t="n">
        <v>94242</v>
      </c>
      <c r="E62" s="7" t="n">
        <v>17.14</v>
      </c>
      <c r="F62" s="7" t="n">
        <v>0</v>
      </c>
      <c r="G62" s="7" t="inlineStr"/>
    </row>
    <row r="63">
      <c r="A63" s="8" t="n">
        <v>24150</v>
      </c>
      <c r="B63" s="8" t="n">
        <v>44257</v>
      </c>
      <c r="C63" s="8" t="n">
        <v>429</v>
      </c>
      <c r="D63" s="8" t="n">
        <v>44686</v>
      </c>
      <c r="E63" s="8" t="n">
        <v>17.47</v>
      </c>
      <c r="F63" s="8" t="n">
        <v>0</v>
      </c>
      <c r="G63" s="8" t="inlineStr"/>
    </row>
    <row r="64">
      <c r="A64" s="7" t="n">
        <v>24200</v>
      </c>
      <c r="B64" s="7" t="n">
        <v>127621</v>
      </c>
      <c r="C64" s="7" t="n">
        <v>1644</v>
      </c>
      <c r="D64" s="7" t="n">
        <v>129265</v>
      </c>
      <c r="E64" s="7" t="n">
        <v>17.83</v>
      </c>
      <c r="F64" s="7" t="n">
        <v>0</v>
      </c>
      <c r="G64" s="7" t="inlineStr"/>
    </row>
    <row r="65">
      <c r="A65" s="8" t="n">
        <v>24250</v>
      </c>
      <c r="B65" s="8" t="n">
        <v>25341</v>
      </c>
      <c r="C65" s="8" t="n">
        <v>329</v>
      </c>
      <c r="D65" s="8" t="n">
        <v>25670</v>
      </c>
      <c r="E65" s="8" t="n">
        <v>18.32</v>
      </c>
      <c r="F65" s="8" t="n">
        <v>0</v>
      </c>
      <c r="G65" s="8" t="inlineStr"/>
    </row>
    <row r="66">
      <c r="A66" s="7" t="n">
        <v>24300</v>
      </c>
      <c r="B66" s="7" t="n">
        <v>66722</v>
      </c>
      <c r="C66" s="7" t="n">
        <v>1293</v>
      </c>
      <c r="D66" s="7" t="n">
        <v>68015</v>
      </c>
      <c r="E66" s="7" t="n">
        <v>18.64</v>
      </c>
      <c r="F66" s="7" t="n">
        <v>0</v>
      </c>
      <c r="G66" s="7" t="inlineStr"/>
    </row>
    <row r="67">
      <c r="A67" s="8" t="n">
        <v>24350</v>
      </c>
      <c r="B67" s="8" t="n">
        <v>33030</v>
      </c>
      <c r="C67" s="8" t="n">
        <v>142</v>
      </c>
      <c r="D67" s="8" t="n">
        <v>33172</v>
      </c>
      <c r="E67" s="8" t="n">
        <v>19.08</v>
      </c>
      <c r="F67" s="8" t="n">
        <v>0</v>
      </c>
      <c r="G67" s="8" t="inlineStr"/>
    </row>
    <row r="68">
      <c r="A68" s="7" t="n">
        <v>24400</v>
      </c>
      <c r="B68" s="7" t="n">
        <v>77991</v>
      </c>
      <c r="C68" s="7" t="n">
        <v>1417</v>
      </c>
      <c r="D68" s="7" t="n">
        <v>79408</v>
      </c>
      <c r="E68" s="7" t="n">
        <v>19.62</v>
      </c>
      <c r="F68" s="7" t="n">
        <v>0</v>
      </c>
      <c r="G68" s="7" t="inlineStr"/>
    </row>
    <row r="69">
      <c r="A69" s="8" t="n">
        <v>24450</v>
      </c>
      <c r="B69" s="8" t="n">
        <v>18542</v>
      </c>
      <c r="C69" s="8" t="n">
        <v>86</v>
      </c>
      <c r="D69" s="8" t="n">
        <v>18628</v>
      </c>
      <c r="E69" s="8" t="n">
        <v>19.88</v>
      </c>
      <c r="F69" s="8" t="n">
        <v>0</v>
      </c>
      <c r="G69" s="8" t="inlineStr"/>
    </row>
    <row r="70">
      <c r="A70" s="7" t="n">
        <v>24500</v>
      </c>
      <c r="B70" s="7" t="n">
        <v>139202</v>
      </c>
      <c r="C70" s="7" t="n">
        <v>4614</v>
      </c>
      <c r="D70" s="7" t="n">
        <v>143816</v>
      </c>
      <c r="E70" s="7" t="n">
        <v>20.41</v>
      </c>
      <c r="F70" s="7" t="n">
        <v>0</v>
      </c>
      <c r="G70" s="7" t="inlineStr"/>
    </row>
    <row r="71">
      <c r="A71" s="8" t="n">
        <v>24550</v>
      </c>
      <c r="B71" s="8" t="n">
        <v>32189</v>
      </c>
      <c r="C71" s="8" t="n">
        <v>33</v>
      </c>
      <c r="D71" s="8" t="n">
        <v>32222</v>
      </c>
      <c r="E71" s="8" t="n">
        <v>21.06</v>
      </c>
      <c r="F71" s="8" t="n">
        <v>0</v>
      </c>
      <c r="G71" s="8" t="inlineStr"/>
    </row>
    <row r="72">
      <c r="A72" s="7" t="n">
        <v>24600</v>
      </c>
      <c r="B72" s="7" t="n">
        <v>65127</v>
      </c>
      <c r="C72" s="7" t="n">
        <v>285</v>
      </c>
      <c r="D72" s="7" t="n">
        <v>65412</v>
      </c>
      <c r="E72" s="7" t="n">
        <v>21.35</v>
      </c>
      <c r="F72" s="7" t="n">
        <v>0</v>
      </c>
      <c r="G72" s="7" t="inlineStr"/>
    </row>
    <row r="73">
      <c r="A73" s="8" t="n">
        <v>24650</v>
      </c>
      <c r="B73" s="8" t="n">
        <v>24291</v>
      </c>
      <c r="C73" s="8" t="n">
        <v>67</v>
      </c>
      <c r="D73" s="8" t="n">
        <v>24358</v>
      </c>
      <c r="E73" s="8" t="n">
        <v>21.89</v>
      </c>
      <c r="F73" s="8" t="n">
        <v>26.8</v>
      </c>
      <c r="G73" s="8" t="inlineStr"/>
    </row>
    <row r="74">
      <c r="A74" s="7" t="n">
        <v>24700</v>
      </c>
      <c r="B74" s="7" t="n">
        <v>73676</v>
      </c>
      <c r="C74" s="7" t="n">
        <v>101</v>
      </c>
      <c r="D74" s="7" t="n">
        <v>73777</v>
      </c>
      <c r="E74" s="7" t="n">
        <v>22.18</v>
      </c>
      <c r="F74" s="7" t="n">
        <v>0</v>
      </c>
      <c r="G74" s="7" t="inlineStr"/>
    </row>
    <row r="75">
      <c r="A75" s="8" t="n">
        <v>24750</v>
      </c>
      <c r="B75" s="8" t="n">
        <v>22382</v>
      </c>
      <c r="C75" s="8" t="n">
        <v>3</v>
      </c>
      <c r="D75" s="8" t="n">
        <v>22385</v>
      </c>
      <c r="E75" s="8" t="n">
        <v>22.39</v>
      </c>
      <c r="F75" s="8" t="n">
        <v>0</v>
      </c>
      <c r="G75" s="8" t="inlineStr"/>
    </row>
    <row r="76">
      <c r="A76" s="7" t="n">
        <v>24800</v>
      </c>
      <c r="B76" s="7" t="n">
        <v>88753</v>
      </c>
      <c r="C76" s="7" t="n">
        <v>807</v>
      </c>
      <c r="D76" s="7" t="n">
        <v>89560</v>
      </c>
      <c r="E76" s="7" t="n">
        <v>23</v>
      </c>
      <c r="F76" s="7" t="n">
        <v>0</v>
      </c>
      <c r="G76" s="7" t="inlineStr"/>
    </row>
    <row r="77">
      <c r="A77" s="8" t="n">
        <v>24850</v>
      </c>
      <c r="B77" s="8" t="n">
        <v>18585</v>
      </c>
      <c r="C77" s="8" t="n">
        <v>32</v>
      </c>
      <c r="D77" s="8" t="n">
        <v>18617</v>
      </c>
      <c r="E77" s="8" t="n">
        <v>23.59</v>
      </c>
      <c r="F77" s="8" t="n">
        <v>0</v>
      </c>
      <c r="G77" s="8" t="inlineStr"/>
    </row>
    <row r="78">
      <c r="A78" s="7" t="n">
        <v>24900</v>
      </c>
      <c r="B78" s="7" t="n">
        <v>41798</v>
      </c>
      <c r="C78" s="7" t="n">
        <v>296</v>
      </c>
      <c r="D78" s="7" t="n">
        <v>42094</v>
      </c>
      <c r="E78" s="7" t="n">
        <v>23.96</v>
      </c>
      <c r="F78" s="7" t="n">
        <v>0</v>
      </c>
      <c r="G78" s="7" t="inlineStr"/>
    </row>
    <row r="79">
      <c r="A79" s="8" t="n">
        <v>24950</v>
      </c>
      <c r="B79" s="8" t="n">
        <v>15257</v>
      </c>
      <c r="C79" s="8" t="n">
        <v>11</v>
      </c>
      <c r="D79" s="8" t="n">
        <v>15268</v>
      </c>
      <c r="E79" s="8" t="n">
        <v>24.64</v>
      </c>
      <c r="F79" s="8" t="n">
        <v>44.33</v>
      </c>
      <c r="G79" s="8" t="inlineStr"/>
    </row>
    <row r="80">
      <c r="A80" s="7" t="n">
        <v>25000</v>
      </c>
      <c r="B80" s="7" t="n">
        <v>170059</v>
      </c>
      <c r="C80" s="7" t="n">
        <v>3716</v>
      </c>
      <c r="D80" s="7" t="n">
        <v>173775</v>
      </c>
      <c r="E80" s="7" t="n">
        <v>25.31</v>
      </c>
      <c r="F80" s="7" t="n">
        <v>0</v>
      </c>
      <c r="G80" s="7" t="inlineStr"/>
    </row>
    <row r="81">
      <c r="A81" s="8" t="n">
        <v>25050</v>
      </c>
      <c r="B81" s="8" t="n">
        <v>12519</v>
      </c>
      <c r="C81" s="8" t="n">
        <v>18</v>
      </c>
      <c r="D81" s="8" t="n">
        <v>12537</v>
      </c>
      <c r="E81" s="8" t="n">
        <v>25.86</v>
      </c>
      <c r="F81" s="8" t="n">
        <v>61.37</v>
      </c>
      <c r="G81" s="8" t="inlineStr"/>
    </row>
    <row r="82">
      <c r="A82" s="7" t="n">
        <v>25100</v>
      </c>
      <c r="B82" s="7" t="n">
        <v>27623</v>
      </c>
      <c r="C82" s="7" t="n">
        <v>10</v>
      </c>
      <c r="D82" s="7" t="n">
        <v>27633</v>
      </c>
      <c r="E82" s="7" t="n">
        <v>26.14</v>
      </c>
      <c r="F82" s="7" t="n">
        <v>0</v>
      </c>
      <c r="G82" s="7" t="inlineStr"/>
    </row>
    <row r="83">
      <c r="A83" s="8" t="n">
        <v>25150</v>
      </c>
      <c r="B83" s="8" t="n">
        <v>9556</v>
      </c>
      <c r="C83" s="8" t="n">
        <v>8</v>
      </c>
      <c r="D83" s="8" t="n">
        <v>9564</v>
      </c>
      <c r="E83" s="8" t="n">
        <v>26.65</v>
      </c>
      <c r="F83" s="8" t="n">
        <v>77.06999999999999</v>
      </c>
      <c r="G83" s="8" t="inlineStr"/>
    </row>
    <row r="84">
      <c r="A84" s="7" t="n">
        <v>25200</v>
      </c>
      <c r="B84" s="7" t="n">
        <v>42412</v>
      </c>
      <c r="C84" s="7" t="n">
        <v>137</v>
      </c>
      <c r="D84" s="7" t="n">
        <v>42549</v>
      </c>
      <c r="E84" s="7" t="n">
        <v>27.58</v>
      </c>
      <c r="F84" s="7" t="n">
        <v>0</v>
      </c>
      <c r="G84" s="7" t="inlineStr"/>
    </row>
    <row r="85">
      <c r="A85" s="8" t="n">
        <v>25250</v>
      </c>
      <c r="B85" s="8" t="n">
        <v>11510</v>
      </c>
      <c r="C85" s="8" t="n">
        <v>5</v>
      </c>
      <c r="D85" s="8" t="n">
        <v>11515</v>
      </c>
      <c r="E85" s="8" t="n">
        <v>27.79</v>
      </c>
      <c r="F85" s="8" t="n">
        <v>0</v>
      </c>
      <c r="G85" s="8" t="inlineStr"/>
    </row>
    <row r="86">
      <c r="A86" s="7" t="n">
        <v>25300</v>
      </c>
      <c r="B86" s="7" t="n">
        <v>39917</v>
      </c>
      <c r="C86" s="7" t="n">
        <v>4</v>
      </c>
      <c r="D86" s="7" t="n">
        <v>39921</v>
      </c>
      <c r="E86" s="7" t="n">
        <v>28.1</v>
      </c>
      <c r="F86" s="7" t="n">
        <v>61.59</v>
      </c>
      <c r="G86" s="7" t="inlineStr"/>
    </row>
    <row r="87">
      <c r="A87" s="8" t="n">
        <v>25350</v>
      </c>
      <c r="B87" s="8" t="n">
        <v>13202</v>
      </c>
      <c r="C87" s="8" t="n">
        <v>8</v>
      </c>
      <c r="D87" s="8" t="n">
        <v>13210</v>
      </c>
      <c r="E87" s="8" t="n">
        <v>28.91</v>
      </c>
      <c r="F87" s="8" t="n">
        <v>66.77</v>
      </c>
      <c r="G87" s="8" t="inlineStr"/>
    </row>
    <row r="88">
      <c r="A88" s="7" t="n">
        <v>25400</v>
      </c>
      <c r="B88" s="7" t="n">
        <v>20856</v>
      </c>
      <c r="C88" s="7" t="n">
        <v>41</v>
      </c>
      <c r="D88" s="7" t="n">
        <v>20897</v>
      </c>
      <c r="E88" s="7" t="n">
        <v>29.18</v>
      </c>
      <c r="F88" s="7" t="n">
        <v>0</v>
      </c>
      <c r="G88" s="7" t="inlineStr"/>
    </row>
    <row r="89">
      <c r="A89" s="8" t="n">
        <v>25450</v>
      </c>
      <c r="B89" s="8" t="n">
        <v>7186</v>
      </c>
      <c r="C89" s="8" t="n">
        <v>2</v>
      </c>
      <c r="D89" s="8" t="n">
        <v>7188</v>
      </c>
      <c r="E89" s="8" t="n">
        <v>29.99</v>
      </c>
      <c r="F89" s="8" t="n">
        <v>0</v>
      </c>
      <c r="G89" s="8" t="inlineStr"/>
    </row>
    <row r="90">
      <c r="A90" s="7" t="n">
        <v>25500</v>
      </c>
      <c r="B90" s="7" t="n">
        <v>85102</v>
      </c>
      <c r="C90" s="7" t="n">
        <v>956</v>
      </c>
      <c r="D90" s="7" t="n">
        <v>86058</v>
      </c>
      <c r="E90" s="7" t="n">
        <v>30.23</v>
      </c>
      <c r="F90" s="7" t="n">
        <v>0</v>
      </c>
      <c r="G90" s="7" t="inlineStr"/>
    </row>
    <row r="91">
      <c r="A91" s="8" t="n">
        <v>25550</v>
      </c>
      <c r="B91" s="8" t="n">
        <v>5377</v>
      </c>
      <c r="C91" s="8" t="n">
        <v>16</v>
      </c>
      <c r="D91" s="8" t="n">
        <v>5393</v>
      </c>
      <c r="E91" s="8" t="n">
        <v>30.84</v>
      </c>
      <c r="F91" s="8" t="n">
        <v>63.56</v>
      </c>
      <c r="G91" s="8" t="inlineStr"/>
    </row>
    <row r="92">
      <c r="A92" s="7" t="n">
        <v>25600</v>
      </c>
      <c r="B92" s="7" t="n">
        <v>12007</v>
      </c>
      <c r="C92" s="7" t="n">
        <v>32</v>
      </c>
      <c r="D92" s="7" t="n">
        <v>12039</v>
      </c>
      <c r="E92" s="7" t="n">
        <v>31.24</v>
      </c>
      <c r="F92" s="7" t="n">
        <v>0</v>
      </c>
      <c r="G92" s="7" t="inlineStr"/>
    </row>
    <row r="93">
      <c r="A93" s="8" t="n">
        <v>25650</v>
      </c>
      <c r="B93" s="8" t="n">
        <v>1661</v>
      </c>
      <c r="C93" s="8" t="n">
        <v>12</v>
      </c>
      <c r="D93" s="8" t="n">
        <v>1673</v>
      </c>
      <c r="E93" s="8" t="n">
        <v>31.84</v>
      </c>
      <c r="F93" s="8" t="n">
        <v>65.55</v>
      </c>
      <c r="G93" s="8" t="inlineStr"/>
    </row>
    <row r="94">
      <c r="A94" s="7" t="n">
        <v>25700</v>
      </c>
      <c r="B94" s="7" t="n">
        <v>6960</v>
      </c>
      <c r="C94" s="7" t="n">
        <v>2</v>
      </c>
      <c r="D94" s="7" t="n">
        <v>6962</v>
      </c>
      <c r="E94" s="7" t="n">
        <v>32.21</v>
      </c>
      <c r="F94" s="7" t="n">
        <v>0</v>
      </c>
      <c r="G94" s="7" t="inlineStr"/>
    </row>
    <row r="95">
      <c r="A95" s="8" t="n">
        <v>25750</v>
      </c>
      <c r="B95" s="8" t="n">
        <v>1374</v>
      </c>
      <c r="C95" s="8" t="n">
        <v>1</v>
      </c>
      <c r="D95" s="8" t="n">
        <v>1375</v>
      </c>
      <c r="E95" s="8" t="n">
        <v>32.81</v>
      </c>
      <c r="F95" s="8" t="n">
        <v>84.09999999999999</v>
      </c>
      <c r="G95" s="8" t="inlineStr"/>
    </row>
    <row r="96">
      <c r="A96" s="7" t="n">
        <v>25800</v>
      </c>
      <c r="B96" s="7" t="n">
        <v>6413</v>
      </c>
      <c r="C96" s="7" t="n">
        <v>8</v>
      </c>
      <c r="D96" s="7" t="n">
        <v>6421</v>
      </c>
      <c r="E96" s="7" t="n">
        <v>33.41</v>
      </c>
      <c r="F96" s="7" t="n">
        <v>0</v>
      </c>
      <c r="G96" s="7" t="inlineStr"/>
    </row>
    <row r="97">
      <c r="A97" s="8" t="n">
        <v>25850</v>
      </c>
      <c r="B97" s="8" t="n">
        <v>1580</v>
      </c>
      <c r="C97" s="8" t="n">
        <v>5</v>
      </c>
      <c r="D97" s="8" t="n">
        <v>1585</v>
      </c>
      <c r="E97" s="8" t="n">
        <v>34</v>
      </c>
      <c r="F97" s="8" t="n">
        <v>72.62</v>
      </c>
      <c r="G97" s="8" t="inlineStr"/>
    </row>
    <row r="98">
      <c r="A98" s="7" t="n">
        <v>25900</v>
      </c>
      <c r="B98" s="7" t="n">
        <v>3162</v>
      </c>
      <c r="C98" s="7" t="n">
        <v>1</v>
      </c>
      <c r="D98" s="7" t="n">
        <v>3163</v>
      </c>
      <c r="E98" s="7" t="n">
        <v>34.33</v>
      </c>
      <c r="F98" s="7" t="n">
        <v>51.49</v>
      </c>
      <c r="G98" s="7" t="inlineStr"/>
    </row>
    <row r="99">
      <c r="A99" s="8" t="n">
        <v>25950</v>
      </c>
      <c r="B99" s="8" t="n">
        <v>1168</v>
      </c>
      <c r="C99" s="8" t="n">
        <v>0</v>
      </c>
      <c r="D99" s="8" t="n">
        <v>1168</v>
      </c>
      <c r="E99" s="8" t="n">
        <v>34.63</v>
      </c>
      <c r="F99" s="8" t="n">
        <v>0</v>
      </c>
      <c r="G99" s="8" t="inlineStr"/>
    </row>
    <row r="100">
      <c r="A100" s="7" t="n">
        <v>26000</v>
      </c>
      <c r="B100" s="7" t="n">
        <v>0</v>
      </c>
      <c r="C100" s="7" t="n">
        <v>859</v>
      </c>
      <c r="D100" s="7" t="n">
        <v>859</v>
      </c>
      <c r="E100" s="7" t="n">
        <v>0</v>
      </c>
      <c r="F100" s="7" t="n">
        <v>0</v>
      </c>
      <c r="G100" s="7" t="inlineStr"/>
    </row>
    <row r="101">
      <c r="A101" s="8" t="n">
        <v>26050</v>
      </c>
      <c r="B101" s="8" t="n">
        <v>0</v>
      </c>
      <c r="C101" s="8" t="n">
        <v>0</v>
      </c>
      <c r="D101" s="8" t="n">
        <v>0</v>
      </c>
      <c r="E101" s="8" t="n">
        <v>0</v>
      </c>
      <c r="F101" s="8" t="n">
        <v>84.5</v>
      </c>
      <c r="G101" s="8" t="inlineStr"/>
    </row>
    <row r="102">
      <c r="A102" s="9" t="n">
        <v>26100</v>
      </c>
      <c r="B102" s="9" t="n">
        <v>23246</v>
      </c>
      <c r="C102" s="9" t="n">
        <v>34</v>
      </c>
      <c r="D102" s="9" t="n">
        <v>23280</v>
      </c>
      <c r="E102" s="9" t="n">
        <v>35.71</v>
      </c>
      <c r="F102" s="9" t="n">
        <v>0</v>
      </c>
      <c r="G102" s="9" t="inlineStr">
        <is>
          <t>✓ MAX PAIN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2" t="inlineStr">
        <is>
          <t>⚠ Unusual OI Activity — Potential Institutional Positioning</t>
        </is>
      </c>
    </row>
    <row r="2">
      <c r="A2" s="6" t="inlineStr">
        <is>
          <t>Strike</t>
        </is>
      </c>
      <c r="B2" s="6" t="inlineStr">
        <is>
          <t>Option Type</t>
        </is>
      </c>
      <c r="C2" s="6" t="inlineStr">
        <is>
          <t>Open Interest</t>
        </is>
      </c>
      <c r="D2" s="6" t="inlineStr">
        <is>
          <t>OI Shift</t>
        </is>
      </c>
      <c r="E2" s="6" t="inlineStr">
        <is>
          <t>Implied Volatility</t>
        </is>
      </c>
      <c r="F2" s="6" t="inlineStr">
        <is>
          <t>Batch ID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2026-06-07T07:15:11Z</dcterms:created>
  <dcterms:modified xmlns:dcterms="http://purl.org/dc/terms/" xmlns:xsi="http://www.w3.org/2001/XMLSchema-instance" xsi:type="dcterms:W3CDTF">2026-06-07T07:15:12Z</dcterms:modified>
</cp:coreProperties>
</file>